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MARTCIDI\SMARTCIDI 2026\PROTECCION DATOS\ASSESSMENT\"/>
    </mc:Choice>
  </mc:AlternateContent>
  <bookViews>
    <workbookView xWindow="0" yWindow="0" windowWidth="23040" windowHeight="8616" activeTab="1"/>
  </bookViews>
  <sheets>
    <sheet name="Dashboard" sheetId="1" r:id="rId1"/>
    <sheet name="ASSESSMENT" sheetId="2" r:id="rId2"/>
    <sheet name="Dimensiones" sheetId="3" r:id="rId3"/>
    <sheet name="Niveles de Madurez" sheetId="4" r:id="rId4"/>
    <sheet name="Plan de Acción" sheetId="5" r:id="rId5"/>
    <sheet name="Catálogos" sheetId="6" r:id="rId6"/>
    <sheet name="Base Normativa" sheetId="7" r:id="rId7"/>
    <sheet name="Guía Aplicación Comercio" sheetId="8" r:id="rId8"/>
    <sheet name="Procesos Comercio" sheetId="9" r:id="rId9"/>
    <sheet name="Perfil Comercio" sheetId="10" r:id="rId10"/>
    <sheet name="Dimensionamiento" sheetId="11" r:id="rId11"/>
    <sheet name="Dimensionamiento Servicios" sheetId="12" r:id="rId12"/>
    <sheet name="Parámetros SMARTCIDI" sheetId="13" r:id="rId13"/>
  </sheets>
  <calcPr calcId="162913"/>
  <fileRecoveryPr repairLoad="1"/>
</workbook>
</file>

<file path=xl/calcChain.xml><?xml version="1.0" encoding="utf-8"?>
<calcChain xmlns="http://schemas.openxmlformats.org/spreadsheetml/2006/main">
  <c r="B131" i="12" l="1"/>
  <c r="O16" i="12" s="1"/>
  <c r="P16" i="12" s="1"/>
  <c r="B117" i="12"/>
  <c r="B103" i="12"/>
  <c r="O14" i="12" s="1"/>
  <c r="P14" i="12" s="1"/>
  <c r="T14" i="12" s="1"/>
  <c r="B93" i="12"/>
  <c r="C77" i="12"/>
  <c r="B77" i="12"/>
  <c r="B61" i="12"/>
  <c r="B45" i="12"/>
  <c r="O8" i="12" s="1"/>
  <c r="P8" i="12" s="1"/>
  <c r="V8" i="12" s="1"/>
  <c r="O21" i="12"/>
  <c r="P21" i="12" s="1"/>
  <c r="O20" i="12"/>
  <c r="P20" i="12" s="1"/>
  <c r="O19" i="12"/>
  <c r="P19" i="12" s="1"/>
  <c r="P18" i="12"/>
  <c r="T18" i="12" s="1"/>
  <c r="O18" i="12"/>
  <c r="O17" i="12"/>
  <c r="P17" i="12" s="1"/>
  <c r="O15" i="12"/>
  <c r="P15" i="12" s="1"/>
  <c r="O13" i="12"/>
  <c r="P13" i="12" s="1"/>
  <c r="O12" i="12"/>
  <c r="P12" i="12" s="1"/>
  <c r="O11" i="12"/>
  <c r="P11" i="12" s="1"/>
  <c r="O10" i="12"/>
  <c r="P10" i="12" s="1"/>
  <c r="T10" i="12" s="1"/>
  <c r="H10" i="12"/>
  <c r="D10" i="12"/>
  <c r="B10" i="12"/>
  <c r="O9" i="12"/>
  <c r="P9" i="12" s="1"/>
  <c r="O7" i="12"/>
  <c r="P7" i="12" s="1"/>
  <c r="L7" i="12"/>
  <c r="T6" i="12"/>
  <c r="P6" i="12"/>
  <c r="R6" i="12" s="1"/>
  <c r="O6" i="12"/>
  <c r="L6" i="12"/>
  <c r="O5" i="12"/>
  <c r="P5" i="12" s="1"/>
  <c r="P4" i="12"/>
  <c r="R4" i="12" s="1"/>
  <c r="O4" i="12"/>
  <c r="O3" i="12"/>
  <c r="P3" i="12" s="1"/>
  <c r="P2" i="12"/>
  <c r="V2" i="12" s="1"/>
  <c r="O2" i="12"/>
  <c r="G61" i="11"/>
  <c r="E61" i="11"/>
  <c r="G60" i="11"/>
  <c r="E60" i="11"/>
  <c r="G59" i="11"/>
  <c r="E59" i="11"/>
  <c r="G58" i="11"/>
  <c r="E58" i="11"/>
  <c r="G57" i="11"/>
  <c r="E57" i="11"/>
  <c r="G56" i="11"/>
  <c r="E56" i="11"/>
  <c r="G55" i="11"/>
  <c r="E55" i="11"/>
  <c r="G51" i="11"/>
  <c r="E51" i="11"/>
  <c r="G50" i="11"/>
  <c r="E50" i="11"/>
  <c r="G49" i="11"/>
  <c r="E49" i="11"/>
  <c r="G48" i="11"/>
  <c r="E48" i="11"/>
  <c r="G47" i="11"/>
  <c r="E47" i="11"/>
  <c r="G46" i="11"/>
  <c r="E46" i="11"/>
  <c r="G42" i="11"/>
  <c r="E42" i="11"/>
  <c r="G41" i="11"/>
  <c r="E41" i="11"/>
  <c r="G40" i="11"/>
  <c r="E40" i="11"/>
  <c r="G39" i="11"/>
  <c r="E39" i="11"/>
  <c r="G38" i="11"/>
  <c r="E38" i="11"/>
  <c r="G37" i="11"/>
  <c r="E37" i="11"/>
  <c r="G36" i="11"/>
  <c r="E36" i="11"/>
  <c r="G35" i="11"/>
  <c r="E35" i="11"/>
  <c r="G31" i="11"/>
  <c r="E31" i="11"/>
  <c r="C31" i="11"/>
  <c r="E24" i="11"/>
  <c r="G24" i="11" s="1"/>
  <c r="E23" i="11"/>
  <c r="G23" i="11" s="1"/>
  <c r="E22" i="11"/>
  <c r="G22" i="11" s="1"/>
  <c r="E21" i="11"/>
  <c r="G21" i="11" s="1"/>
  <c r="E20" i="11"/>
  <c r="G20" i="11" s="1"/>
  <c r="F4" i="11"/>
  <c r="B4" i="11"/>
  <c r="B69" i="11" s="1"/>
  <c r="D69" i="11" s="1"/>
  <c r="K84" i="5"/>
  <c r="J84" i="5"/>
  <c r="I84" i="5"/>
  <c r="G84" i="5"/>
  <c r="F84" i="5"/>
  <c r="C84" i="5"/>
  <c r="B84" i="5"/>
  <c r="A84" i="5"/>
  <c r="K83" i="5"/>
  <c r="J83" i="5"/>
  <c r="I83" i="5"/>
  <c r="G83" i="5"/>
  <c r="F83" i="5"/>
  <c r="C83" i="5"/>
  <c r="B83" i="5"/>
  <c r="A83" i="5"/>
  <c r="K82" i="5"/>
  <c r="J82" i="5"/>
  <c r="I82" i="5"/>
  <c r="G82" i="5"/>
  <c r="F82" i="5"/>
  <c r="C82" i="5"/>
  <c r="B82" i="5"/>
  <c r="A82" i="5"/>
  <c r="K81" i="5"/>
  <c r="J81" i="5"/>
  <c r="I81" i="5"/>
  <c r="G81" i="5"/>
  <c r="F81" i="5"/>
  <c r="C81" i="5"/>
  <c r="B81" i="5"/>
  <c r="A81" i="5"/>
  <c r="K80" i="5"/>
  <c r="J80" i="5"/>
  <c r="I80" i="5"/>
  <c r="G80" i="5"/>
  <c r="F80" i="5"/>
  <c r="C80" i="5"/>
  <c r="B80" i="5"/>
  <c r="A80" i="5"/>
  <c r="K79" i="5"/>
  <c r="J79" i="5"/>
  <c r="I79" i="5"/>
  <c r="G79" i="5"/>
  <c r="F79" i="5"/>
  <c r="C79" i="5"/>
  <c r="B79" i="5"/>
  <c r="A79" i="5"/>
  <c r="K78" i="5"/>
  <c r="J78" i="5"/>
  <c r="I78" i="5"/>
  <c r="G78" i="5"/>
  <c r="F78" i="5"/>
  <c r="C78" i="5"/>
  <c r="B78" i="5"/>
  <c r="A78" i="5"/>
  <c r="K77" i="5"/>
  <c r="J77" i="5"/>
  <c r="I77" i="5"/>
  <c r="G77" i="5"/>
  <c r="F77" i="5"/>
  <c r="C77" i="5"/>
  <c r="B77" i="5"/>
  <c r="A77" i="5"/>
  <c r="K76" i="5"/>
  <c r="J76" i="5"/>
  <c r="I76" i="5"/>
  <c r="G76" i="5"/>
  <c r="F76" i="5"/>
  <c r="C76" i="5"/>
  <c r="B76" i="5"/>
  <c r="A76" i="5"/>
  <c r="K75" i="5"/>
  <c r="J75" i="5"/>
  <c r="I75" i="5"/>
  <c r="G75" i="5"/>
  <c r="F75" i="5"/>
  <c r="C75" i="5"/>
  <c r="B75" i="5"/>
  <c r="A75" i="5"/>
  <c r="K74" i="5"/>
  <c r="J74" i="5"/>
  <c r="I74" i="5"/>
  <c r="G74" i="5"/>
  <c r="F74" i="5"/>
  <c r="C74" i="5"/>
  <c r="B74" i="5"/>
  <c r="A74" i="5"/>
  <c r="K73" i="5"/>
  <c r="J73" i="5"/>
  <c r="I73" i="5"/>
  <c r="G73" i="5"/>
  <c r="F73" i="5"/>
  <c r="C73" i="5"/>
  <c r="B73" i="5"/>
  <c r="A73" i="5"/>
  <c r="K72" i="5"/>
  <c r="J72" i="5"/>
  <c r="I72" i="5"/>
  <c r="G72" i="5"/>
  <c r="F72" i="5"/>
  <c r="C72" i="5"/>
  <c r="B72" i="5"/>
  <c r="A72" i="5"/>
  <c r="K71" i="5"/>
  <c r="J71" i="5"/>
  <c r="I71" i="5"/>
  <c r="G71" i="5"/>
  <c r="F71" i="5"/>
  <c r="C71" i="5"/>
  <c r="B71" i="5"/>
  <c r="A71" i="5"/>
  <c r="K70" i="5"/>
  <c r="J70" i="5"/>
  <c r="I70" i="5"/>
  <c r="G70" i="5"/>
  <c r="F70" i="5"/>
  <c r="C70" i="5"/>
  <c r="B70" i="5"/>
  <c r="A70" i="5"/>
  <c r="K69" i="5"/>
  <c r="J69" i="5"/>
  <c r="I69" i="5"/>
  <c r="G69" i="5"/>
  <c r="F69" i="5"/>
  <c r="C69" i="5"/>
  <c r="B69" i="5"/>
  <c r="A69" i="5"/>
  <c r="K68" i="5"/>
  <c r="J68" i="5"/>
  <c r="I68" i="5"/>
  <c r="G68" i="5"/>
  <c r="F68" i="5"/>
  <c r="C68" i="5"/>
  <c r="B68" i="5"/>
  <c r="A68" i="5"/>
  <c r="K67" i="5"/>
  <c r="J67" i="5"/>
  <c r="I67" i="5"/>
  <c r="G67" i="5"/>
  <c r="F67" i="5"/>
  <c r="C67" i="5"/>
  <c r="B67" i="5"/>
  <c r="A67" i="5"/>
  <c r="K66" i="5"/>
  <c r="J66" i="5"/>
  <c r="I66" i="5"/>
  <c r="G66" i="5"/>
  <c r="F66" i="5"/>
  <c r="C66" i="5"/>
  <c r="B66" i="5"/>
  <c r="A66" i="5"/>
  <c r="K65" i="5"/>
  <c r="J65" i="5"/>
  <c r="I65" i="5"/>
  <c r="G65" i="5"/>
  <c r="F65" i="5"/>
  <c r="C65" i="5"/>
  <c r="B65" i="5"/>
  <c r="A65" i="5"/>
  <c r="K64" i="5"/>
  <c r="J64" i="5"/>
  <c r="I64" i="5"/>
  <c r="G64" i="5"/>
  <c r="F64" i="5"/>
  <c r="C64" i="5"/>
  <c r="B64" i="5"/>
  <c r="A64" i="5"/>
  <c r="K63" i="5"/>
  <c r="J63" i="5"/>
  <c r="I63" i="5"/>
  <c r="G63" i="5"/>
  <c r="F63" i="5"/>
  <c r="C63" i="5"/>
  <c r="B63" i="5"/>
  <c r="A63" i="5"/>
  <c r="K62" i="5"/>
  <c r="J62" i="5"/>
  <c r="I62" i="5"/>
  <c r="G62" i="5"/>
  <c r="F62" i="5"/>
  <c r="C62" i="5"/>
  <c r="B62" i="5"/>
  <c r="A62" i="5"/>
  <c r="K61" i="5"/>
  <c r="J61" i="5"/>
  <c r="I61" i="5"/>
  <c r="G61" i="5"/>
  <c r="F61" i="5"/>
  <c r="C61" i="5"/>
  <c r="B61" i="5"/>
  <c r="A61" i="5"/>
  <c r="K60" i="5"/>
  <c r="J60" i="5"/>
  <c r="I60" i="5"/>
  <c r="G60" i="5"/>
  <c r="F60" i="5"/>
  <c r="C60" i="5"/>
  <c r="B60" i="5"/>
  <c r="A60" i="5"/>
  <c r="K59" i="5"/>
  <c r="J59" i="5"/>
  <c r="I59" i="5"/>
  <c r="G59" i="5"/>
  <c r="F59" i="5"/>
  <c r="C59" i="5"/>
  <c r="B59" i="5"/>
  <c r="A59" i="5"/>
  <c r="K58" i="5"/>
  <c r="J58" i="5"/>
  <c r="I58" i="5"/>
  <c r="G58" i="5"/>
  <c r="F58" i="5"/>
  <c r="C58" i="5"/>
  <c r="B58" i="5"/>
  <c r="A58" i="5"/>
  <c r="K57" i="5"/>
  <c r="J57" i="5"/>
  <c r="I57" i="5"/>
  <c r="G57" i="5"/>
  <c r="F57" i="5"/>
  <c r="C57" i="5"/>
  <c r="B57" i="5"/>
  <c r="A57" i="5"/>
  <c r="K56" i="5"/>
  <c r="J56" i="5"/>
  <c r="I56" i="5"/>
  <c r="G56" i="5"/>
  <c r="F56" i="5"/>
  <c r="C56" i="5"/>
  <c r="B56" i="5"/>
  <c r="A56" i="5"/>
  <c r="K55" i="5"/>
  <c r="J55" i="5"/>
  <c r="I55" i="5"/>
  <c r="G55" i="5"/>
  <c r="F55" i="5"/>
  <c r="C55" i="5"/>
  <c r="B55" i="5"/>
  <c r="A55" i="5"/>
  <c r="K54" i="5"/>
  <c r="J54" i="5"/>
  <c r="I54" i="5"/>
  <c r="G54" i="5"/>
  <c r="F54" i="5"/>
  <c r="C54" i="5"/>
  <c r="B54" i="5"/>
  <c r="A54" i="5"/>
  <c r="K53" i="5"/>
  <c r="J53" i="5"/>
  <c r="I53" i="5"/>
  <c r="G53" i="5"/>
  <c r="F53" i="5"/>
  <c r="C53" i="5"/>
  <c r="B53" i="5"/>
  <c r="A53" i="5"/>
  <c r="K52" i="5"/>
  <c r="J52" i="5"/>
  <c r="I52" i="5"/>
  <c r="G52" i="5"/>
  <c r="F52" i="5"/>
  <c r="C52" i="5"/>
  <c r="B52" i="5"/>
  <c r="A52" i="5"/>
  <c r="K51" i="5"/>
  <c r="J51" i="5"/>
  <c r="I51" i="5"/>
  <c r="G51" i="5"/>
  <c r="F51" i="5"/>
  <c r="C51" i="5"/>
  <c r="B51" i="5"/>
  <c r="A51" i="5"/>
  <c r="K50" i="5"/>
  <c r="J50" i="5"/>
  <c r="I50" i="5"/>
  <c r="G50" i="5"/>
  <c r="F50" i="5"/>
  <c r="C50" i="5"/>
  <c r="B50" i="5"/>
  <c r="A50" i="5"/>
  <c r="K49" i="5"/>
  <c r="J49" i="5"/>
  <c r="I49" i="5"/>
  <c r="G49" i="5"/>
  <c r="F49" i="5"/>
  <c r="C49" i="5"/>
  <c r="B49" i="5"/>
  <c r="A49" i="5"/>
  <c r="K48" i="5"/>
  <c r="J48" i="5"/>
  <c r="I48" i="5"/>
  <c r="G48" i="5"/>
  <c r="F48" i="5"/>
  <c r="C48" i="5"/>
  <c r="B48" i="5"/>
  <c r="A48" i="5"/>
  <c r="K47" i="5"/>
  <c r="J47" i="5"/>
  <c r="I47" i="5"/>
  <c r="G47" i="5"/>
  <c r="F47" i="5"/>
  <c r="C47" i="5"/>
  <c r="B47" i="5"/>
  <c r="A47" i="5"/>
  <c r="K46" i="5"/>
  <c r="J46" i="5"/>
  <c r="I46" i="5"/>
  <c r="G46" i="5"/>
  <c r="F46" i="5"/>
  <c r="C46" i="5"/>
  <c r="B46" i="5"/>
  <c r="A46" i="5"/>
  <c r="K45" i="5"/>
  <c r="J45" i="5"/>
  <c r="I45" i="5"/>
  <c r="G45" i="5"/>
  <c r="F45" i="5"/>
  <c r="C45" i="5"/>
  <c r="B45" i="5"/>
  <c r="A45" i="5"/>
  <c r="K44" i="5"/>
  <c r="J44" i="5"/>
  <c r="I44" i="5"/>
  <c r="G44" i="5"/>
  <c r="F44" i="5"/>
  <c r="C44" i="5"/>
  <c r="B44" i="5"/>
  <c r="A44" i="5"/>
  <c r="K43" i="5"/>
  <c r="J43" i="5"/>
  <c r="I43" i="5"/>
  <c r="G43" i="5"/>
  <c r="F43" i="5"/>
  <c r="C43" i="5"/>
  <c r="B43" i="5"/>
  <c r="A43" i="5"/>
  <c r="K42" i="5"/>
  <c r="J42" i="5"/>
  <c r="I42" i="5"/>
  <c r="G42" i="5"/>
  <c r="F42" i="5"/>
  <c r="C42" i="5"/>
  <c r="B42" i="5"/>
  <c r="A42" i="5"/>
  <c r="K41" i="5"/>
  <c r="J41" i="5"/>
  <c r="I41" i="5"/>
  <c r="G41" i="5"/>
  <c r="F41" i="5"/>
  <c r="C41" i="5"/>
  <c r="B41" i="5"/>
  <c r="A41" i="5"/>
  <c r="K40" i="5"/>
  <c r="J40" i="5"/>
  <c r="I40" i="5"/>
  <c r="G40" i="5"/>
  <c r="F40" i="5"/>
  <c r="C40" i="5"/>
  <c r="B40" i="5"/>
  <c r="A40" i="5"/>
  <c r="K39" i="5"/>
  <c r="J39" i="5"/>
  <c r="I39" i="5"/>
  <c r="G39" i="5"/>
  <c r="F39" i="5"/>
  <c r="C39" i="5"/>
  <c r="B39" i="5"/>
  <c r="A39" i="5"/>
  <c r="K38" i="5"/>
  <c r="J38" i="5"/>
  <c r="I38" i="5"/>
  <c r="G38" i="5"/>
  <c r="F38" i="5"/>
  <c r="C38" i="5"/>
  <c r="B38" i="5"/>
  <c r="A38" i="5"/>
  <c r="K37" i="5"/>
  <c r="J37" i="5"/>
  <c r="I37" i="5"/>
  <c r="G37" i="5"/>
  <c r="F37" i="5"/>
  <c r="C37" i="5"/>
  <c r="B37" i="5"/>
  <c r="A37" i="5"/>
  <c r="K36" i="5"/>
  <c r="J36" i="5"/>
  <c r="I36" i="5"/>
  <c r="G36" i="5"/>
  <c r="F36" i="5"/>
  <c r="C36" i="5"/>
  <c r="B36" i="5"/>
  <c r="A36" i="5"/>
  <c r="K35" i="5"/>
  <c r="J35" i="5"/>
  <c r="I35" i="5"/>
  <c r="G35" i="5"/>
  <c r="F35" i="5"/>
  <c r="C35" i="5"/>
  <c r="B35" i="5"/>
  <c r="A35" i="5"/>
  <c r="K34" i="5"/>
  <c r="J34" i="5"/>
  <c r="I34" i="5"/>
  <c r="G34" i="5"/>
  <c r="F34" i="5"/>
  <c r="C34" i="5"/>
  <c r="B34" i="5"/>
  <c r="A34" i="5"/>
  <c r="K33" i="5"/>
  <c r="J33" i="5"/>
  <c r="I33" i="5"/>
  <c r="G33" i="5"/>
  <c r="F33" i="5"/>
  <c r="C33" i="5"/>
  <c r="B33" i="5"/>
  <c r="A33" i="5"/>
  <c r="K32" i="5"/>
  <c r="J32" i="5"/>
  <c r="I32" i="5"/>
  <c r="G32" i="5"/>
  <c r="F32" i="5"/>
  <c r="C32" i="5"/>
  <c r="B32" i="5"/>
  <c r="A32" i="5"/>
  <c r="K31" i="5"/>
  <c r="J31" i="5"/>
  <c r="I31" i="5"/>
  <c r="G31" i="5"/>
  <c r="F31" i="5"/>
  <c r="C31" i="5"/>
  <c r="B31" i="5"/>
  <c r="A31" i="5"/>
  <c r="K30" i="5"/>
  <c r="J30" i="5"/>
  <c r="I30" i="5"/>
  <c r="G30" i="5"/>
  <c r="F30" i="5"/>
  <c r="C30" i="5"/>
  <c r="B30" i="5"/>
  <c r="A30" i="5"/>
  <c r="K29" i="5"/>
  <c r="J29" i="5"/>
  <c r="I29" i="5"/>
  <c r="G29" i="5"/>
  <c r="F29" i="5"/>
  <c r="C29" i="5"/>
  <c r="B29" i="5"/>
  <c r="A29" i="5"/>
  <c r="K28" i="5"/>
  <c r="J28" i="5"/>
  <c r="I28" i="5"/>
  <c r="G28" i="5"/>
  <c r="F28" i="5"/>
  <c r="C28" i="5"/>
  <c r="B28" i="5"/>
  <c r="A28" i="5"/>
  <c r="K27" i="5"/>
  <c r="J27" i="5"/>
  <c r="I27" i="5"/>
  <c r="G27" i="5"/>
  <c r="F27" i="5"/>
  <c r="C27" i="5"/>
  <c r="B27" i="5"/>
  <c r="A27" i="5"/>
  <c r="K26" i="5"/>
  <c r="J26" i="5"/>
  <c r="I26" i="5"/>
  <c r="G26" i="5"/>
  <c r="F26" i="5"/>
  <c r="C26" i="5"/>
  <c r="B26" i="5"/>
  <c r="A26" i="5"/>
  <c r="K25" i="5"/>
  <c r="J25" i="5"/>
  <c r="I25" i="5"/>
  <c r="G25" i="5"/>
  <c r="F25" i="5"/>
  <c r="C25" i="5"/>
  <c r="B25" i="5"/>
  <c r="A25" i="5"/>
  <c r="K24" i="5"/>
  <c r="J24" i="5"/>
  <c r="I24" i="5"/>
  <c r="G24" i="5"/>
  <c r="F24" i="5"/>
  <c r="C24" i="5"/>
  <c r="B24" i="5"/>
  <c r="A24" i="5"/>
  <c r="K23" i="5"/>
  <c r="J23" i="5"/>
  <c r="I23" i="5"/>
  <c r="G23" i="5"/>
  <c r="F23" i="5"/>
  <c r="C23" i="5"/>
  <c r="B23" i="5"/>
  <c r="A23" i="5"/>
  <c r="K22" i="5"/>
  <c r="J22" i="5"/>
  <c r="I22" i="5"/>
  <c r="G22" i="5"/>
  <c r="F22" i="5"/>
  <c r="C22" i="5"/>
  <c r="B22" i="5"/>
  <c r="A22" i="5"/>
  <c r="K21" i="5"/>
  <c r="J21" i="5"/>
  <c r="I21" i="5"/>
  <c r="G21" i="5"/>
  <c r="F21" i="5"/>
  <c r="C21" i="5"/>
  <c r="B21" i="5"/>
  <c r="A21" i="5"/>
  <c r="K20" i="5"/>
  <c r="J20" i="5"/>
  <c r="I20" i="5"/>
  <c r="G20" i="5"/>
  <c r="F20" i="5"/>
  <c r="C20" i="5"/>
  <c r="B20" i="5"/>
  <c r="A20" i="5"/>
  <c r="K19" i="5"/>
  <c r="J19" i="5"/>
  <c r="I19" i="5"/>
  <c r="G19" i="5"/>
  <c r="F19" i="5"/>
  <c r="C19" i="5"/>
  <c r="B19" i="5"/>
  <c r="A19" i="5"/>
  <c r="K18" i="5"/>
  <c r="J18" i="5"/>
  <c r="I18" i="5"/>
  <c r="G18" i="5"/>
  <c r="F18" i="5"/>
  <c r="C18" i="5"/>
  <c r="B18" i="5"/>
  <c r="A18" i="5"/>
  <c r="K17" i="5"/>
  <c r="J17" i="5"/>
  <c r="I17" i="5"/>
  <c r="G17" i="5"/>
  <c r="F17" i="5"/>
  <c r="C17" i="5"/>
  <c r="B17" i="5"/>
  <c r="A17" i="5"/>
  <c r="K16" i="5"/>
  <c r="J16" i="5"/>
  <c r="I16" i="5"/>
  <c r="G16" i="5"/>
  <c r="F16" i="5"/>
  <c r="C16" i="5"/>
  <c r="B16" i="5"/>
  <c r="A16" i="5"/>
  <c r="K15" i="5"/>
  <c r="J15" i="5"/>
  <c r="I15" i="5"/>
  <c r="G15" i="5"/>
  <c r="F15" i="5"/>
  <c r="C15" i="5"/>
  <c r="B15" i="5"/>
  <c r="A15" i="5"/>
  <c r="K14" i="5"/>
  <c r="J14" i="5"/>
  <c r="I14" i="5"/>
  <c r="G14" i="5"/>
  <c r="F14" i="5"/>
  <c r="C14" i="5"/>
  <c r="B14" i="5"/>
  <c r="A14" i="5"/>
  <c r="K13" i="5"/>
  <c r="J13" i="5"/>
  <c r="I13" i="5"/>
  <c r="G13" i="5"/>
  <c r="F13" i="5"/>
  <c r="C13" i="5"/>
  <c r="B13" i="5"/>
  <c r="A13" i="5"/>
  <c r="K12" i="5"/>
  <c r="J12" i="5"/>
  <c r="I12" i="5"/>
  <c r="G12" i="5"/>
  <c r="F12" i="5"/>
  <c r="C12" i="5"/>
  <c r="B12" i="5"/>
  <c r="A12" i="5"/>
  <c r="K11" i="5"/>
  <c r="J11" i="5"/>
  <c r="I11" i="5"/>
  <c r="G11" i="5"/>
  <c r="F11" i="5"/>
  <c r="C11" i="5"/>
  <c r="B11" i="5"/>
  <c r="A11" i="5"/>
  <c r="K10" i="5"/>
  <c r="J10" i="5"/>
  <c r="I10" i="5"/>
  <c r="G10" i="5"/>
  <c r="F10" i="5"/>
  <c r="C10" i="5"/>
  <c r="B10" i="5"/>
  <c r="A10" i="5"/>
  <c r="K9" i="5"/>
  <c r="J9" i="5"/>
  <c r="I9" i="5"/>
  <c r="G9" i="5"/>
  <c r="F9" i="5"/>
  <c r="C9" i="5"/>
  <c r="B9" i="5"/>
  <c r="A9" i="5"/>
  <c r="K8" i="5"/>
  <c r="J8" i="5"/>
  <c r="I8" i="5"/>
  <c r="G8" i="5"/>
  <c r="F8" i="5"/>
  <c r="C8" i="5"/>
  <c r="B8" i="5"/>
  <c r="A8" i="5"/>
  <c r="K7" i="5"/>
  <c r="J7" i="5"/>
  <c r="I7" i="5"/>
  <c r="G7" i="5"/>
  <c r="F7" i="5"/>
  <c r="C7" i="5"/>
  <c r="B7" i="5"/>
  <c r="A7" i="5"/>
  <c r="K6" i="5"/>
  <c r="J6" i="5"/>
  <c r="I6" i="5"/>
  <c r="G6" i="5"/>
  <c r="F6" i="5"/>
  <c r="C6" i="5"/>
  <c r="B6" i="5"/>
  <c r="A6" i="5"/>
  <c r="K5" i="5"/>
  <c r="J5" i="5"/>
  <c r="I5" i="5"/>
  <c r="G5" i="5"/>
  <c r="F5" i="5"/>
  <c r="C5" i="5"/>
  <c r="B5" i="5"/>
  <c r="A5" i="5"/>
  <c r="D13" i="3"/>
  <c r="E13" i="3" s="1"/>
  <c r="C13" i="3"/>
  <c r="D12" i="3"/>
  <c r="E12" i="3" s="1"/>
  <c r="C12" i="3"/>
  <c r="D11" i="3"/>
  <c r="E11" i="3" s="1"/>
  <c r="C11" i="3"/>
  <c r="D10" i="3"/>
  <c r="C10" i="3"/>
  <c r="E10" i="3" s="1"/>
  <c r="E9" i="3"/>
  <c r="I9" i="3" s="1"/>
  <c r="D9" i="3"/>
  <c r="C9" i="3"/>
  <c r="D8" i="3"/>
  <c r="E8" i="3" s="1"/>
  <c r="C8" i="3"/>
  <c r="D7" i="3"/>
  <c r="E7" i="3" s="1"/>
  <c r="C7" i="3"/>
  <c r="E6" i="3"/>
  <c r="G6" i="3" s="1"/>
  <c r="D6" i="3"/>
  <c r="C6" i="3"/>
  <c r="D5" i="3"/>
  <c r="E5" i="3" s="1"/>
  <c r="C5" i="3"/>
  <c r="D4" i="3"/>
  <c r="C4" i="3"/>
  <c r="B5" i="1" s="1"/>
  <c r="B11" i="1" s="1"/>
  <c r="B12" i="1" s="1"/>
  <c r="P86" i="2"/>
  <c r="D84" i="5" s="1"/>
  <c r="O86" i="2"/>
  <c r="N86" i="2"/>
  <c r="M86" i="2"/>
  <c r="O85" i="2"/>
  <c r="M85" i="2"/>
  <c r="N85" i="2" s="1"/>
  <c r="P84" i="2"/>
  <c r="D82" i="5" s="1"/>
  <c r="O84" i="2"/>
  <c r="N84" i="2"/>
  <c r="M84" i="2"/>
  <c r="P83" i="2"/>
  <c r="D81" i="5" s="1"/>
  <c r="O83" i="2"/>
  <c r="M83" i="2"/>
  <c r="N83" i="2" s="1"/>
  <c r="P82" i="2"/>
  <c r="D80" i="5" s="1"/>
  <c r="O82" i="2"/>
  <c r="N82" i="2"/>
  <c r="M82" i="2"/>
  <c r="U81" i="2"/>
  <c r="P81" i="2"/>
  <c r="D79" i="5" s="1"/>
  <c r="O81" i="2"/>
  <c r="M81" i="2"/>
  <c r="N81" i="2" s="1"/>
  <c r="P80" i="2"/>
  <c r="D78" i="5" s="1"/>
  <c r="O80" i="2"/>
  <c r="N80" i="2"/>
  <c r="M80" i="2"/>
  <c r="O79" i="2"/>
  <c r="M79" i="2"/>
  <c r="N79" i="2" s="1"/>
  <c r="F13" i="3" s="1"/>
  <c r="F14" i="1" s="1"/>
  <c r="P78" i="2"/>
  <c r="D76" i="5" s="1"/>
  <c r="O78" i="2"/>
  <c r="N78" i="2"/>
  <c r="M78" i="2"/>
  <c r="O77" i="2"/>
  <c r="M77" i="2"/>
  <c r="N77" i="2" s="1"/>
  <c r="P76" i="2"/>
  <c r="D74" i="5" s="1"/>
  <c r="O76" i="2"/>
  <c r="N76" i="2"/>
  <c r="M76" i="2"/>
  <c r="P75" i="2"/>
  <c r="D73" i="5" s="1"/>
  <c r="O75" i="2"/>
  <c r="N75" i="2"/>
  <c r="M75" i="2"/>
  <c r="P74" i="2"/>
  <c r="O74" i="2"/>
  <c r="N74" i="2"/>
  <c r="M74" i="2"/>
  <c r="O73" i="2"/>
  <c r="M73" i="2"/>
  <c r="N73" i="2" s="1"/>
  <c r="P72" i="2"/>
  <c r="O72" i="2"/>
  <c r="N72" i="2"/>
  <c r="M72" i="2"/>
  <c r="P71" i="2"/>
  <c r="O71" i="2"/>
  <c r="N71" i="2"/>
  <c r="M71" i="2"/>
  <c r="P70" i="2"/>
  <c r="O70" i="2"/>
  <c r="N70" i="2"/>
  <c r="M70" i="2"/>
  <c r="O69" i="2"/>
  <c r="M69" i="2"/>
  <c r="P69" i="2" s="1"/>
  <c r="P68" i="2"/>
  <c r="O68" i="2"/>
  <c r="N68" i="2"/>
  <c r="M68" i="2"/>
  <c r="P67" i="2"/>
  <c r="D65" i="5" s="1"/>
  <c r="O67" i="2"/>
  <c r="N67" i="2"/>
  <c r="M67" i="2"/>
  <c r="P66" i="2"/>
  <c r="O66" i="2"/>
  <c r="N66" i="2"/>
  <c r="M66" i="2"/>
  <c r="O65" i="2"/>
  <c r="M65" i="2"/>
  <c r="N65" i="2" s="1"/>
  <c r="P64" i="2"/>
  <c r="O64" i="2"/>
  <c r="N64" i="2"/>
  <c r="M64" i="2"/>
  <c r="P63" i="2"/>
  <c r="O63" i="2"/>
  <c r="N63" i="2"/>
  <c r="M63" i="2"/>
  <c r="P62" i="2"/>
  <c r="O62" i="2"/>
  <c r="N62" i="2"/>
  <c r="M62" i="2"/>
  <c r="O61" i="2"/>
  <c r="M61" i="2"/>
  <c r="P61" i="2" s="1"/>
  <c r="P60" i="2"/>
  <c r="O60" i="2"/>
  <c r="N60" i="2"/>
  <c r="M60" i="2"/>
  <c r="P59" i="2"/>
  <c r="D57" i="5" s="1"/>
  <c r="O59" i="2"/>
  <c r="N59" i="2"/>
  <c r="M59" i="2"/>
  <c r="P58" i="2"/>
  <c r="O58" i="2"/>
  <c r="N58" i="2"/>
  <c r="M58" i="2"/>
  <c r="O57" i="2"/>
  <c r="M57" i="2"/>
  <c r="N57" i="2" s="1"/>
  <c r="P56" i="2"/>
  <c r="O56" i="2"/>
  <c r="N56" i="2"/>
  <c r="M56" i="2"/>
  <c r="P55" i="2"/>
  <c r="O55" i="2"/>
  <c r="N55" i="2"/>
  <c r="M55" i="2"/>
  <c r="P54" i="2"/>
  <c r="O54" i="2"/>
  <c r="N54" i="2"/>
  <c r="M54" i="2"/>
  <c r="O53" i="2"/>
  <c r="M53" i="2"/>
  <c r="P53" i="2" s="1"/>
  <c r="P52" i="2"/>
  <c r="O52" i="2"/>
  <c r="N52" i="2"/>
  <c r="M52" i="2"/>
  <c r="P51" i="2"/>
  <c r="D49" i="5" s="1"/>
  <c r="O51" i="2"/>
  <c r="N51" i="2"/>
  <c r="M51" i="2"/>
  <c r="P50" i="2"/>
  <c r="O50" i="2"/>
  <c r="N50" i="2"/>
  <c r="M50" i="2"/>
  <c r="O49" i="2"/>
  <c r="M49" i="2"/>
  <c r="N49" i="2" s="1"/>
  <c r="P48" i="2"/>
  <c r="O48" i="2"/>
  <c r="N48" i="2"/>
  <c r="M48" i="2"/>
  <c r="P47" i="2"/>
  <c r="O47" i="2"/>
  <c r="N47" i="2"/>
  <c r="M47" i="2"/>
  <c r="P46" i="2"/>
  <c r="O46" i="2"/>
  <c r="N46" i="2"/>
  <c r="M46" i="2"/>
  <c r="O45" i="2"/>
  <c r="M45" i="2"/>
  <c r="P45" i="2" s="1"/>
  <c r="P44" i="2"/>
  <c r="O44" i="2"/>
  <c r="N44" i="2"/>
  <c r="M44" i="2"/>
  <c r="P43" i="2"/>
  <c r="D41" i="5" s="1"/>
  <c r="O43" i="2"/>
  <c r="N43" i="2"/>
  <c r="M43" i="2"/>
  <c r="P42" i="2"/>
  <c r="O42" i="2"/>
  <c r="N42" i="2"/>
  <c r="M42" i="2"/>
  <c r="O41" i="2"/>
  <c r="M41" i="2"/>
  <c r="N41" i="2" s="1"/>
  <c r="P40" i="2"/>
  <c r="O40" i="2"/>
  <c r="N40" i="2"/>
  <c r="M40" i="2"/>
  <c r="P39" i="2"/>
  <c r="O39" i="2"/>
  <c r="N39" i="2"/>
  <c r="M39" i="2"/>
  <c r="P38" i="2"/>
  <c r="O38" i="2"/>
  <c r="N38" i="2"/>
  <c r="M38" i="2"/>
  <c r="O37" i="2"/>
  <c r="M37" i="2"/>
  <c r="P37" i="2" s="1"/>
  <c r="P36" i="2"/>
  <c r="O36" i="2"/>
  <c r="N36" i="2"/>
  <c r="M36" i="2"/>
  <c r="P35" i="2"/>
  <c r="D33" i="5" s="1"/>
  <c r="O35" i="2"/>
  <c r="N35" i="2"/>
  <c r="M35" i="2"/>
  <c r="P34" i="2"/>
  <c r="O34" i="2"/>
  <c r="N34" i="2"/>
  <c r="M34" i="2"/>
  <c r="O33" i="2"/>
  <c r="M33" i="2"/>
  <c r="N33" i="2" s="1"/>
  <c r="P32" i="2"/>
  <c r="O32" i="2"/>
  <c r="N32" i="2"/>
  <c r="M32" i="2"/>
  <c r="P31" i="2"/>
  <c r="O31" i="2"/>
  <c r="N31" i="2"/>
  <c r="M31" i="2"/>
  <c r="P30" i="2"/>
  <c r="O30" i="2"/>
  <c r="N30" i="2"/>
  <c r="M30" i="2"/>
  <c r="O29" i="2"/>
  <c r="M29" i="2"/>
  <c r="P29" i="2" s="1"/>
  <c r="P28" i="2"/>
  <c r="O28" i="2"/>
  <c r="N28" i="2"/>
  <c r="M28" i="2"/>
  <c r="P27" i="2"/>
  <c r="D25" i="5" s="1"/>
  <c r="O27" i="2"/>
  <c r="N27" i="2"/>
  <c r="M27" i="2"/>
  <c r="P26" i="2"/>
  <c r="O26" i="2"/>
  <c r="N26" i="2"/>
  <c r="M26" i="2"/>
  <c r="O25" i="2"/>
  <c r="M25" i="2"/>
  <c r="N25" i="2" s="1"/>
  <c r="P24" i="2"/>
  <c r="O24" i="2"/>
  <c r="N24" i="2"/>
  <c r="M24" i="2"/>
  <c r="P23" i="2"/>
  <c r="O23" i="2"/>
  <c r="N23" i="2"/>
  <c r="M23" i="2"/>
  <c r="P22" i="2"/>
  <c r="O22" i="2"/>
  <c r="N22" i="2"/>
  <c r="M22" i="2"/>
  <c r="O21" i="2"/>
  <c r="M21" i="2"/>
  <c r="P21" i="2" s="1"/>
  <c r="P20" i="2"/>
  <c r="O20" i="2"/>
  <c r="N20" i="2"/>
  <c r="M20" i="2"/>
  <c r="P19" i="2"/>
  <c r="D17" i="5" s="1"/>
  <c r="O19" i="2"/>
  <c r="N19" i="2"/>
  <c r="M19" i="2"/>
  <c r="P18" i="2"/>
  <c r="O18" i="2"/>
  <c r="N18" i="2"/>
  <c r="M18" i="2"/>
  <c r="O17" i="2"/>
  <c r="M17" i="2"/>
  <c r="N17" i="2" s="1"/>
  <c r="P16" i="2"/>
  <c r="O16" i="2"/>
  <c r="N16" i="2"/>
  <c r="M16" i="2"/>
  <c r="P15" i="2"/>
  <c r="O15" i="2"/>
  <c r="N15" i="2"/>
  <c r="M15" i="2"/>
  <c r="P14" i="2"/>
  <c r="O14" i="2"/>
  <c r="N14" i="2"/>
  <c r="M14" i="2"/>
  <c r="O13" i="2"/>
  <c r="M13" i="2"/>
  <c r="P13" i="2" s="1"/>
  <c r="P12" i="2"/>
  <c r="O12" i="2"/>
  <c r="N12" i="2"/>
  <c r="M12" i="2"/>
  <c r="P11" i="2"/>
  <c r="D9" i="5" s="1"/>
  <c r="O11" i="2"/>
  <c r="N11" i="2"/>
  <c r="M11" i="2"/>
  <c r="P10" i="2"/>
  <c r="O10" i="2"/>
  <c r="N10" i="2"/>
  <c r="M10" i="2"/>
  <c r="O9" i="2"/>
  <c r="M9" i="2"/>
  <c r="N9" i="2" s="1"/>
  <c r="P8" i="2"/>
  <c r="O8" i="2"/>
  <c r="N8" i="2"/>
  <c r="M8" i="2"/>
  <c r="P7" i="2"/>
  <c r="O7" i="2"/>
  <c r="N7" i="2"/>
  <c r="M7" i="2"/>
  <c r="E13" i="1"/>
  <c r="D13" i="1"/>
  <c r="E12" i="1"/>
  <c r="D12" i="1"/>
  <c r="E11" i="1"/>
  <c r="D11" i="1"/>
  <c r="E10" i="1"/>
  <c r="D10" i="1"/>
  <c r="B10" i="1"/>
  <c r="E9" i="1"/>
  <c r="D9" i="1"/>
  <c r="E8" i="1"/>
  <c r="D8" i="1"/>
  <c r="G7" i="1"/>
  <c r="E7" i="1"/>
  <c r="D7" i="1"/>
  <c r="B7" i="1"/>
  <c r="E6" i="1"/>
  <c r="D6" i="1"/>
  <c r="E5" i="1"/>
  <c r="D5" i="1"/>
  <c r="F10" i="12" l="1"/>
  <c r="K6" i="12" s="1"/>
  <c r="V17" i="12"/>
  <c r="R17" i="12"/>
  <c r="V13" i="12"/>
  <c r="R13" i="12"/>
  <c r="T4" i="12"/>
  <c r="D19" i="5"/>
  <c r="U21" i="2"/>
  <c r="D27" i="5"/>
  <c r="U29" i="2"/>
  <c r="D51" i="5"/>
  <c r="U53" i="2"/>
  <c r="D59" i="5"/>
  <c r="U61" i="2"/>
  <c r="D67" i="5"/>
  <c r="U69" i="2"/>
  <c r="D35" i="5"/>
  <c r="U37" i="2"/>
  <c r="D11" i="5"/>
  <c r="U13" i="2"/>
  <c r="D43" i="5"/>
  <c r="U45" i="2"/>
  <c r="U8" i="2"/>
  <c r="D6" i="5"/>
  <c r="F5" i="3"/>
  <c r="F6" i="1" s="1"/>
  <c r="U16" i="2"/>
  <c r="D14" i="5"/>
  <c r="D30" i="5"/>
  <c r="U32" i="2"/>
  <c r="D46" i="5"/>
  <c r="U48" i="2"/>
  <c r="E79" i="5"/>
  <c r="W81" i="2"/>
  <c r="H79" i="5" s="1"/>
  <c r="P9" i="2"/>
  <c r="U11" i="2"/>
  <c r="N13" i="2"/>
  <c r="F4" i="3" s="1"/>
  <c r="D12" i="5"/>
  <c r="U14" i="2"/>
  <c r="P17" i="2"/>
  <c r="B8" i="1" s="1"/>
  <c r="U19" i="2"/>
  <c r="N21" i="2"/>
  <c r="D20" i="5"/>
  <c r="U22" i="2"/>
  <c r="P25" i="2"/>
  <c r="U27" i="2"/>
  <c r="N29" i="2"/>
  <c r="D28" i="5"/>
  <c r="U30" i="2"/>
  <c r="P33" i="2"/>
  <c r="U35" i="2"/>
  <c r="N37" i="2"/>
  <c r="F7" i="3" s="1"/>
  <c r="F8" i="1" s="1"/>
  <c r="D36" i="5"/>
  <c r="U38" i="2"/>
  <c r="P41" i="2"/>
  <c r="U43" i="2"/>
  <c r="N45" i="2"/>
  <c r="D44" i="5"/>
  <c r="U46" i="2"/>
  <c r="P49" i="2"/>
  <c r="U51" i="2"/>
  <c r="N53" i="2"/>
  <c r="F9" i="3" s="1"/>
  <c r="F10" i="1" s="1"/>
  <c r="D52" i="5"/>
  <c r="U54" i="2"/>
  <c r="P57" i="2"/>
  <c r="U59" i="2"/>
  <c r="N61" i="2"/>
  <c r="D60" i="5"/>
  <c r="U62" i="2"/>
  <c r="P65" i="2"/>
  <c r="U67" i="2"/>
  <c r="N69" i="2"/>
  <c r="F11" i="3" s="1"/>
  <c r="F12" i="1" s="1"/>
  <c r="D68" i="5"/>
  <c r="U70" i="2"/>
  <c r="P73" i="2"/>
  <c r="U75" i="2"/>
  <c r="P77" i="2"/>
  <c r="U83" i="2"/>
  <c r="P85" i="2"/>
  <c r="E4" i="3"/>
  <c r="I5" i="3"/>
  <c r="G5" i="3"/>
  <c r="G6" i="1" s="1"/>
  <c r="I12" i="3"/>
  <c r="G12" i="3"/>
  <c r="G13" i="1" s="1"/>
  <c r="U12" i="2"/>
  <c r="D10" i="5"/>
  <c r="D13" i="5"/>
  <c r="H5" i="3"/>
  <c r="H6" i="1" s="1"/>
  <c r="D18" i="5"/>
  <c r="U20" i="2"/>
  <c r="D21" i="5"/>
  <c r="H6" i="3"/>
  <c r="H7" i="1" s="1"/>
  <c r="D26" i="5"/>
  <c r="U28" i="2"/>
  <c r="D29" i="5"/>
  <c r="H7" i="3"/>
  <c r="H8" i="1" s="1"/>
  <c r="D34" i="5"/>
  <c r="U36" i="2"/>
  <c r="D37" i="5"/>
  <c r="H8" i="3"/>
  <c r="H9" i="1" s="1"/>
  <c r="D42" i="5"/>
  <c r="U44" i="2"/>
  <c r="D45" i="5"/>
  <c r="H9" i="3"/>
  <c r="H10" i="1" s="1"/>
  <c r="D50" i="5"/>
  <c r="U52" i="2"/>
  <c r="D53" i="5"/>
  <c r="H10" i="3"/>
  <c r="H11" i="1" s="1"/>
  <c r="D58" i="5"/>
  <c r="U60" i="2"/>
  <c r="D61" i="5"/>
  <c r="H11" i="3"/>
  <c r="H12" i="1" s="1"/>
  <c r="D66" i="5"/>
  <c r="U68" i="2"/>
  <c r="D69" i="5"/>
  <c r="H12" i="3"/>
  <c r="H13" i="1" s="1"/>
  <c r="P79" i="2"/>
  <c r="G7" i="3"/>
  <c r="G8" i="1" s="1"/>
  <c r="I7" i="3"/>
  <c r="F6" i="3"/>
  <c r="F7" i="1" s="1"/>
  <c r="D22" i="5"/>
  <c r="U24" i="2"/>
  <c r="F8" i="3"/>
  <c r="F9" i="1" s="1"/>
  <c r="D38" i="5"/>
  <c r="U40" i="2"/>
  <c r="F10" i="3"/>
  <c r="F11" i="1" s="1"/>
  <c r="D54" i="5"/>
  <c r="U56" i="2"/>
  <c r="D62" i="5"/>
  <c r="U64" i="2"/>
  <c r="F12" i="3"/>
  <c r="F13" i="1" s="1"/>
  <c r="D70" i="5"/>
  <c r="U72" i="2"/>
  <c r="D5" i="5"/>
  <c r="H4" i="3"/>
  <c r="H5" i="1" s="1"/>
  <c r="U7" i="2"/>
  <c r="D8" i="5"/>
  <c r="U10" i="2"/>
  <c r="U15" i="2"/>
  <c r="D16" i="5"/>
  <c r="U18" i="2"/>
  <c r="U23" i="2"/>
  <c r="D24" i="5"/>
  <c r="U26" i="2"/>
  <c r="U31" i="2"/>
  <c r="D32" i="5"/>
  <c r="U34" i="2"/>
  <c r="U39" i="2"/>
  <c r="D40" i="5"/>
  <c r="U42" i="2"/>
  <c r="U47" i="2"/>
  <c r="D48" i="5"/>
  <c r="U50" i="2"/>
  <c r="U55" i="2"/>
  <c r="D56" i="5"/>
  <c r="U58" i="2"/>
  <c r="U63" i="2"/>
  <c r="D64" i="5"/>
  <c r="U66" i="2"/>
  <c r="U71" i="2"/>
  <c r="D72" i="5"/>
  <c r="U74" i="2"/>
  <c r="G11" i="3"/>
  <c r="G12" i="1" s="1"/>
  <c r="I11" i="3"/>
  <c r="I13" i="3"/>
  <c r="G13" i="3"/>
  <c r="G14" i="1" s="1"/>
  <c r="I8" i="3"/>
  <c r="G8" i="3"/>
  <c r="G9" i="1" s="1"/>
  <c r="G10" i="3"/>
  <c r="G11" i="1" s="1"/>
  <c r="I10" i="3"/>
  <c r="G9" i="3"/>
  <c r="G10" i="1" s="1"/>
  <c r="V12" i="12"/>
  <c r="T12" i="12"/>
  <c r="L8" i="12"/>
  <c r="R12" i="12"/>
  <c r="I6" i="3"/>
  <c r="V3" i="12"/>
  <c r="T3" i="12"/>
  <c r="R3" i="12"/>
  <c r="R5" i="12"/>
  <c r="V5" i="12"/>
  <c r="T5" i="12"/>
  <c r="V9" i="12"/>
  <c r="T9" i="12"/>
  <c r="R9" i="12"/>
  <c r="R19" i="12"/>
  <c r="V19" i="12"/>
  <c r="T19" i="12"/>
  <c r="V7" i="12"/>
  <c r="T7" i="12"/>
  <c r="R7" i="12"/>
  <c r="K8" i="12"/>
  <c r="R15" i="12"/>
  <c r="V15" i="12"/>
  <c r="T15" i="12"/>
  <c r="V20" i="12"/>
  <c r="T20" i="12"/>
  <c r="R20" i="12"/>
  <c r="U76" i="2"/>
  <c r="U78" i="2"/>
  <c r="U80" i="2"/>
  <c r="U82" i="2"/>
  <c r="U84" i="2"/>
  <c r="U86" i="2"/>
  <c r="R11" i="12"/>
  <c r="V11" i="12"/>
  <c r="T11" i="12"/>
  <c r="V16" i="12"/>
  <c r="T16" i="12"/>
  <c r="R16" i="12"/>
  <c r="V21" i="12"/>
  <c r="T21" i="12"/>
  <c r="R21" i="12"/>
  <c r="H4" i="11"/>
  <c r="B66" i="11"/>
  <c r="D66" i="11" s="1"/>
  <c r="B68" i="11"/>
  <c r="D68" i="11" s="1"/>
  <c r="B70" i="11"/>
  <c r="D70" i="11" s="1"/>
  <c r="R2" i="12"/>
  <c r="V4" i="12"/>
  <c r="V6" i="12"/>
  <c r="R8" i="12"/>
  <c r="V10" i="12"/>
  <c r="V14" i="12"/>
  <c r="V18" i="12"/>
  <c r="B5" i="11"/>
  <c r="B7" i="11"/>
  <c r="T2" i="12"/>
  <c r="T8" i="12"/>
  <c r="D4" i="11"/>
  <c r="D5" i="11"/>
  <c r="B8" i="11"/>
  <c r="B65" i="11"/>
  <c r="D65" i="11" s="1"/>
  <c r="B67" i="11"/>
  <c r="D67" i="11" s="1"/>
  <c r="R10" i="12"/>
  <c r="T13" i="12"/>
  <c r="R14" i="12"/>
  <c r="T17" i="12"/>
  <c r="R18" i="12"/>
  <c r="K7" i="12" l="1"/>
  <c r="B7" i="12"/>
  <c r="C7" i="12" s="1"/>
  <c r="G7" i="12" s="1"/>
  <c r="B8" i="12"/>
  <c r="C8" i="12" s="1"/>
  <c r="D8" i="12" s="1"/>
  <c r="B6" i="12"/>
  <c r="C6" i="12" s="1"/>
  <c r="G6" i="12" s="1"/>
  <c r="F5" i="1"/>
  <c r="B4" i="1"/>
  <c r="B6" i="1" s="1"/>
  <c r="E43" i="5"/>
  <c r="W45" i="2"/>
  <c r="H43" i="5" s="1"/>
  <c r="E35" i="5"/>
  <c r="W37" i="2"/>
  <c r="H35" i="5" s="1"/>
  <c r="E27" i="5"/>
  <c r="W29" i="2"/>
  <c r="H27" i="5" s="1"/>
  <c r="F5" i="11"/>
  <c r="H5" i="11"/>
  <c r="E80" i="5"/>
  <c r="W82" i="2"/>
  <c r="H80" i="5" s="1"/>
  <c r="E61" i="5"/>
  <c r="W63" i="2"/>
  <c r="H61" i="5" s="1"/>
  <c r="E48" i="5"/>
  <c r="W50" i="2"/>
  <c r="H48" i="5" s="1"/>
  <c r="E29" i="5"/>
  <c r="W31" i="2"/>
  <c r="H29" i="5" s="1"/>
  <c r="E16" i="5"/>
  <c r="W18" i="2"/>
  <c r="H16" i="5" s="1"/>
  <c r="E62" i="5"/>
  <c r="W64" i="2"/>
  <c r="H62" i="5" s="1"/>
  <c r="D83" i="5"/>
  <c r="U85" i="2"/>
  <c r="D71" i="5"/>
  <c r="U73" i="2"/>
  <c r="E65" i="5"/>
  <c r="W67" i="2"/>
  <c r="H65" i="5" s="1"/>
  <c r="E44" i="5"/>
  <c r="W46" i="2"/>
  <c r="H44" i="5" s="1"/>
  <c r="D39" i="5"/>
  <c r="U41" i="2"/>
  <c r="E33" i="5"/>
  <c r="W35" i="2"/>
  <c r="H33" i="5" s="1"/>
  <c r="E12" i="5"/>
  <c r="W14" i="2"/>
  <c r="H12" i="5" s="1"/>
  <c r="D7" i="5"/>
  <c r="B9" i="1"/>
  <c r="U9" i="2"/>
  <c r="E82" i="5"/>
  <c r="W84" i="2"/>
  <c r="H82" i="5" s="1"/>
  <c r="E74" i="5"/>
  <c r="W76" i="2"/>
  <c r="H74" i="5" s="1"/>
  <c r="E72" i="5"/>
  <c r="W74" i="2"/>
  <c r="H72" i="5" s="1"/>
  <c r="E53" i="5"/>
  <c r="W55" i="2"/>
  <c r="H53" i="5" s="1"/>
  <c r="E40" i="5"/>
  <c r="W42" i="2"/>
  <c r="H40" i="5" s="1"/>
  <c r="E21" i="5"/>
  <c r="W23" i="2"/>
  <c r="H21" i="5" s="1"/>
  <c r="E8" i="5"/>
  <c r="W10" i="2"/>
  <c r="H8" i="5" s="1"/>
  <c r="E54" i="5"/>
  <c r="W56" i="2"/>
  <c r="H54" i="5" s="1"/>
  <c r="I4" i="3"/>
  <c r="G4" i="3"/>
  <c r="G5" i="1" s="1"/>
  <c r="E73" i="5"/>
  <c r="W75" i="2"/>
  <c r="H73" i="5" s="1"/>
  <c r="E52" i="5"/>
  <c r="W54" i="2"/>
  <c r="H52" i="5" s="1"/>
  <c r="D47" i="5"/>
  <c r="U49" i="2"/>
  <c r="E41" i="5"/>
  <c r="W43" i="2"/>
  <c r="H41" i="5" s="1"/>
  <c r="E20" i="5"/>
  <c r="W22" i="2"/>
  <c r="H20" i="5" s="1"/>
  <c r="D15" i="5"/>
  <c r="U17" i="2"/>
  <c r="E9" i="5"/>
  <c r="W11" i="2"/>
  <c r="H9" i="5" s="1"/>
  <c r="E46" i="5"/>
  <c r="W48" i="2"/>
  <c r="H46" i="5" s="1"/>
  <c r="E59" i="5"/>
  <c r="W61" i="2"/>
  <c r="H59" i="5" s="1"/>
  <c r="E78" i="5"/>
  <c r="W80" i="2"/>
  <c r="H78" i="5" s="1"/>
  <c r="E69" i="5"/>
  <c r="W71" i="2"/>
  <c r="H69" i="5" s="1"/>
  <c r="E56" i="5"/>
  <c r="W58" i="2"/>
  <c r="H56" i="5" s="1"/>
  <c r="E37" i="5"/>
  <c r="W39" i="2"/>
  <c r="H37" i="5" s="1"/>
  <c r="E24" i="5"/>
  <c r="W26" i="2"/>
  <c r="H24" i="5" s="1"/>
  <c r="E5" i="5"/>
  <c r="W7" i="2"/>
  <c r="H5" i="5" s="1"/>
  <c r="E70" i="5"/>
  <c r="W72" i="2"/>
  <c r="H70" i="5" s="1"/>
  <c r="E22" i="5"/>
  <c r="W24" i="2"/>
  <c r="H22" i="5" s="1"/>
  <c r="E66" i="5"/>
  <c r="W68" i="2"/>
  <c r="H66" i="5" s="1"/>
  <c r="E58" i="5"/>
  <c r="W60" i="2"/>
  <c r="H58" i="5" s="1"/>
  <c r="E50" i="5"/>
  <c r="W52" i="2"/>
  <c r="H50" i="5" s="1"/>
  <c r="E42" i="5"/>
  <c r="W44" i="2"/>
  <c r="H42" i="5" s="1"/>
  <c r="E34" i="5"/>
  <c r="W36" i="2"/>
  <c r="H34" i="5" s="1"/>
  <c r="E26" i="5"/>
  <c r="W28" i="2"/>
  <c r="H26" i="5" s="1"/>
  <c r="E18" i="5"/>
  <c r="W20" i="2"/>
  <c r="H18" i="5" s="1"/>
  <c r="E81" i="5"/>
  <c r="W83" i="2"/>
  <c r="H81" i="5" s="1"/>
  <c r="E68" i="5"/>
  <c r="W70" i="2"/>
  <c r="H68" i="5" s="1"/>
  <c r="D63" i="5"/>
  <c r="U65" i="2"/>
  <c r="E57" i="5"/>
  <c r="W59" i="2"/>
  <c r="H57" i="5" s="1"/>
  <c r="E36" i="5"/>
  <c r="W38" i="2"/>
  <c r="H36" i="5" s="1"/>
  <c r="D31" i="5"/>
  <c r="U33" i="2"/>
  <c r="E25" i="5"/>
  <c r="W27" i="2"/>
  <c r="H25" i="5" s="1"/>
  <c r="E6" i="5"/>
  <c r="W8" i="2"/>
  <c r="H6" i="5" s="1"/>
  <c r="E11" i="5"/>
  <c r="W13" i="2"/>
  <c r="H11" i="5" s="1"/>
  <c r="E67" i="5"/>
  <c r="W69" i="2"/>
  <c r="H67" i="5" s="1"/>
  <c r="E51" i="5"/>
  <c r="W53" i="2"/>
  <c r="H51" i="5" s="1"/>
  <c r="E19" i="5"/>
  <c r="W21" i="2"/>
  <c r="H19" i="5" s="1"/>
  <c r="E84" i="5"/>
  <c r="W86" i="2"/>
  <c r="H84" i="5" s="1"/>
  <c r="E76" i="5"/>
  <c r="W78" i="2"/>
  <c r="H76" i="5" s="1"/>
  <c r="E64" i="5"/>
  <c r="W66" i="2"/>
  <c r="H64" i="5" s="1"/>
  <c r="E45" i="5"/>
  <c r="W47" i="2"/>
  <c r="H45" i="5" s="1"/>
  <c r="E32" i="5"/>
  <c r="W34" i="2"/>
  <c r="H32" i="5" s="1"/>
  <c r="E13" i="5"/>
  <c r="W15" i="2"/>
  <c r="H13" i="5" s="1"/>
  <c r="E38" i="5"/>
  <c r="W40" i="2"/>
  <c r="H38" i="5" s="1"/>
  <c r="D77" i="5"/>
  <c r="H13" i="3"/>
  <c r="H14" i="1" s="1"/>
  <c r="U79" i="2"/>
  <c r="E10" i="5"/>
  <c r="W12" i="2"/>
  <c r="H10" i="5" s="1"/>
  <c r="D75" i="5"/>
  <c r="U77" i="2"/>
  <c r="E60" i="5"/>
  <c r="W62" i="2"/>
  <c r="H60" i="5" s="1"/>
  <c r="D55" i="5"/>
  <c r="U57" i="2"/>
  <c r="E49" i="5"/>
  <c r="W51" i="2"/>
  <c r="H49" i="5" s="1"/>
  <c r="E28" i="5"/>
  <c r="W30" i="2"/>
  <c r="H28" i="5" s="1"/>
  <c r="D23" i="5"/>
  <c r="U25" i="2"/>
  <c r="E17" i="5"/>
  <c r="W19" i="2"/>
  <c r="H17" i="5" s="1"/>
  <c r="E30" i="5"/>
  <c r="W32" i="2"/>
  <c r="H30" i="5" s="1"/>
  <c r="E14" i="5"/>
  <c r="W16" i="2"/>
  <c r="H14" i="5" s="1"/>
  <c r="F7" i="12" l="1"/>
  <c r="H7" i="12" s="1"/>
  <c r="D7" i="12"/>
  <c r="E7" i="12"/>
  <c r="F8" i="12"/>
  <c r="H8" i="12" s="1"/>
  <c r="I8" i="12" s="1"/>
  <c r="J7" i="12"/>
  <c r="J8" i="12"/>
  <c r="D6" i="12"/>
  <c r="F6" i="12"/>
  <c r="H6" i="12" s="1"/>
  <c r="G8" i="12"/>
  <c r="J6" i="12"/>
  <c r="E6" i="12"/>
  <c r="E55" i="5"/>
  <c r="W57" i="2"/>
  <c r="H55" i="5" s="1"/>
  <c r="E77" i="5"/>
  <c r="W79" i="2"/>
  <c r="H77" i="5" s="1"/>
  <c r="E71" i="5"/>
  <c r="W73" i="2"/>
  <c r="H71" i="5" s="1"/>
  <c r="E39" i="5"/>
  <c r="W41" i="2"/>
  <c r="H39" i="5" s="1"/>
  <c r="E83" i="5"/>
  <c r="W85" i="2"/>
  <c r="H83" i="5" s="1"/>
  <c r="E75" i="5"/>
  <c r="W77" i="2"/>
  <c r="H75" i="5" s="1"/>
  <c r="E23" i="5"/>
  <c r="W25" i="2"/>
  <c r="H23" i="5" s="1"/>
  <c r="E63" i="5"/>
  <c r="W65" i="2"/>
  <c r="H63" i="5" s="1"/>
  <c r="E47" i="5"/>
  <c r="W49" i="2"/>
  <c r="H47" i="5" s="1"/>
  <c r="E7" i="5"/>
  <c r="W9" i="2"/>
  <c r="H7" i="5" s="1"/>
  <c r="E31" i="5"/>
  <c r="W33" i="2"/>
  <c r="H31" i="5" s="1"/>
  <c r="E15" i="5"/>
  <c r="W17" i="2"/>
  <c r="H15" i="5" s="1"/>
</calcChain>
</file>

<file path=xl/sharedStrings.xml><?xml version="1.0" encoding="utf-8"?>
<sst xmlns="http://schemas.openxmlformats.org/spreadsheetml/2006/main" count="2445" uniqueCount="1643">
  <si>
    <t>Modelo SMARTCIDI | LOPDP Ecuador | 10 dimensiones | evidencia, criticidad, bloqueantes y plan de acción</t>
  </si>
  <si>
    <t>Madurez global ponderada</t>
  </si>
  <si>
    <t>Dimensión</t>
  </si>
  <si>
    <t>Peso</t>
  </si>
  <si>
    <t>Score</t>
  </si>
  <si>
    <t>Nivel</t>
  </si>
  <si>
    <t>Brechas A/C</t>
  </si>
  <si>
    <t>Cobertura de evaluación</t>
  </si>
  <si>
    <t>Nivel teórico numérico</t>
  </si>
  <si>
    <t>Bloqueantes abiertos</t>
  </si>
  <si>
    <t>Brechas críticas</t>
  </si>
  <si>
    <t>Brechas altas</t>
  </si>
  <si>
    <t>Evidencia insuficiente en controles críticos</t>
  </si>
  <si>
    <t>Nivel final ajustado</t>
  </si>
  <si>
    <t>Resultado ejecutivo</t>
  </si>
  <si>
    <t>Capacitación, cultura, auditoría y mejora continua</t>
  </si>
  <si>
    <t>Metodología resumida</t>
  </si>
  <si>
    <t>Aplica=Sí entra al cálculo; Aplica=No se excluye. Criticidad pondera el control. Nivel asignado mide madurez observada. Nivel evidencia limita el resultado. Nivel efectivo=MIN(Nivel asignado, Evidencia+1). Riesgo=(5-Nivel efectivo)×Criticidad.</t>
  </si>
  <si>
    <t>Recomendación de uso</t>
  </si>
  <si>
    <t>ID</t>
  </si>
  <si>
    <t>Peso Dimensión</t>
  </si>
  <si>
    <t>Control / Subdimensión</t>
  </si>
  <si>
    <t>Pregunta de evaluación</t>
  </si>
  <si>
    <t>Criterio para evaluar madurez</t>
  </si>
  <si>
    <t>Evidencia solicitada</t>
  </si>
  <si>
    <t>Responsable / área a entrevistar</t>
  </si>
  <si>
    <t>Aplica</t>
  </si>
  <si>
    <t>Criticidad (1-5)</t>
  </si>
  <si>
    <t>Nivel asignado (1-5)</t>
  </si>
  <si>
    <t>Nivel evidencia (0-4)</t>
  </si>
  <si>
    <t>Nivel efectivo</t>
  </si>
  <si>
    <t>Score ponderado</t>
  </si>
  <si>
    <t>Base ponderada</t>
  </si>
  <si>
    <t>Riesgo de brecha</t>
  </si>
  <si>
    <t>Bloqueante de madurez</t>
  </si>
  <si>
    <t>Estado actual / hallazgo</t>
  </si>
  <si>
    <t>Brecha identificada</t>
  </si>
  <si>
    <t>Acción recomendada</t>
  </si>
  <si>
    <t>Prioridad sugerida</t>
  </si>
  <si>
    <t>Responsable sugerido</t>
  </si>
  <si>
    <t>Plazo sugerido</t>
  </si>
  <si>
    <t>Evidencia de cierre</t>
  </si>
  <si>
    <t>Estado del plan</t>
  </si>
  <si>
    <t>Observaciones</t>
  </si>
  <si>
    <t>Gobierno y responsabilidad proactiva</t>
  </si>
  <si>
    <t>Política aprobada, acta de aprobación, control de versión, evidencia de comunicación interna.</t>
  </si>
  <si>
    <t>Gerencia / Cumplimiento / DPO</t>
  </si>
  <si>
    <t>Sí</t>
  </si>
  <si>
    <t>Aprobar o actualizar la política interna, comunicarla formalmente y definir revisión anual.</t>
  </si>
  <si>
    <t>Roles, responsabilidades y sponsor ejecutivo</t>
  </si>
  <si>
    <t>¿Están definidos los responsables internos de protección de datos por área/proceso?</t>
  </si>
  <si>
    <t>Existen responsables, sponsor ejecutivo y responsabilidades documentadas para procesos críticos.</t>
  </si>
  <si>
    <t>Matriz RACI, actas de designación, organigrama, perfiles de responsabilidad.</t>
  </si>
  <si>
    <t>Gerencia / Talento Humano / DPO</t>
  </si>
  <si>
    <t>Definir responsables internos por proceso y formalizar su rol con soporte de gerencia.</t>
  </si>
  <si>
    <t>No</t>
  </si>
  <si>
    <t>Mapa de obligaciones y base normativa aplicable</t>
  </si>
  <si>
    <t>¿La organización tiene identificadas las obligaciones LOPDP aplicables a su operación?</t>
  </si>
  <si>
    <t>Existe un mapa normativo que vincula obligaciones con procesos, controles y evidencias.</t>
  </si>
  <si>
    <t>Mapa normativo, matriz de cumplimiento, criterios de aplicabilidad, revisión legal-consultiva.</t>
  </si>
  <si>
    <t>Cumplimiento / Legal / DPO</t>
  </si>
  <si>
    <t>Elaborar matriz de obligaciones aplicables y vincularlas con controles internos.</t>
  </si>
  <si>
    <t>Presupuesto y recursos</t>
  </si>
  <si>
    <t>¿Existe asignación de recursos para sostener el sistema de protección de datos?</t>
  </si>
  <si>
    <t>Se asignan recursos para capacitación, herramientas, seguridad, consultoría, auditoría y mejoras.</t>
  </si>
  <si>
    <t>Presupuesto, plan anual, aprobaciones, órdenes de compra, cronograma.</t>
  </si>
  <si>
    <t>Gerencia / Finanzas / TI</t>
  </si>
  <si>
    <t>Definir presupuesto proporcional al riesgo para sostener cumplimiento y seguridad.</t>
  </si>
  <si>
    <t>Gestión documental del SGPDP</t>
  </si>
  <si>
    <t>¿Los documentos de protección de datos tienen control de versión, dueño y fecha de revisión?</t>
  </si>
  <si>
    <t>Documentos controlados, aprobados, versionados y disponibles para responsables internos.</t>
  </si>
  <si>
    <t>Repositorio, control maestro de documentos, versiones, responsables, historial de cambios.</t>
  </si>
  <si>
    <t>Cumplimiento / Calidad / DPO</t>
  </si>
  <si>
    <t>Crear control maestro documental para políticas, matrices, procedimientos y evidencias.</t>
  </si>
  <si>
    <t>Indicadores y reportes a dirección</t>
  </si>
  <si>
    <t>¿Se reportan indicadores de protección de datos a la alta dirección?</t>
  </si>
  <si>
    <t>Existen KPIs de incidentes, derechos, capacitación, riesgos, proveedores y avance de acciones.</t>
  </si>
  <si>
    <t>Dashboard, informes mensuales/trimestrales, actas de revisión por dirección.</t>
  </si>
  <si>
    <t>DPO / Gerencia / Cumplimiento</t>
  </si>
  <si>
    <t>Definir indicadores mínimos y reportarlos periódicamente a dirección.</t>
  </si>
  <si>
    <t>Inventario, RAT, finalidades y legitimación</t>
  </si>
  <si>
    <t>Inventario de datos, mapa de procesos, fichas de tratamiento.</t>
  </si>
  <si>
    <t>DPO / Procesos / Áreas</t>
  </si>
  <si>
    <t>Levantar o actualizar inventario de tratamientos con dueños por proceso.</t>
  </si>
  <si>
    <t>RAT, control de cambios, evidencia de validación por áreas.</t>
  </si>
  <si>
    <t>DPO / Cumplimiento / Áreas</t>
  </si>
  <si>
    <t>Construir o actualizar RAT con base en procesos reales y evidencia de validación.</t>
  </si>
  <si>
    <t>Finalidades específicas y documentadas</t>
  </si>
  <si>
    <t>¿Cada tratamiento tiene finalidades claras, específicas y documentadas?</t>
  </si>
  <si>
    <t>Las finalidades son explícitas, legítimas, no genéricas y se reflejan en avisos y procesos.</t>
  </si>
  <si>
    <t>RAT, avisos de privacidad, formularios, procedimientos, bases de legitimación.</t>
  </si>
  <si>
    <t>DPO / Legal / Áreas</t>
  </si>
  <si>
    <t>Depurar finalidades y eliminar descripciones genéricas o incompatibles.</t>
  </si>
  <si>
    <t>Base de legitimación por tratamiento</t>
  </si>
  <si>
    <t>¿Cada tratamiento tiene identificada y justificada su base de legitimación?</t>
  </si>
  <si>
    <t>La base se asigna por tratamiento, con racionales y criterios de aplicabilidad.</t>
  </si>
  <si>
    <t>Matriz de bases, consentimientos, contratos, obligación legal, LIA cuando aplique.</t>
  </si>
  <si>
    <t>Validar bases de legitimación por proceso y documentar rationale.</t>
  </si>
  <si>
    <t>Clasificar datos sensibles y definir controles reforzados por tratamiento.</t>
  </si>
  <si>
    <t>Plazos de conservación</t>
  </si>
  <si>
    <t>¿Existen plazos de conservación documentados por tipo de dato y proceso?</t>
  </si>
  <si>
    <t>Los plazos están definidos, justificados y conectados con archivo, eliminación y respaldo.</t>
  </si>
  <si>
    <t>Política de conservación, tabla de retención, actas de eliminación.</t>
  </si>
  <si>
    <t>Cumplimiento / Archivo / Legal / TI</t>
  </si>
  <si>
    <t>Definir tabla de conservación y procedimiento de eliminación segura.</t>
  </si>
  <si>
    <t>Minimización de datos</t>
  </si>
  <si>
    <t>¿Los formularios y procesos recolectan solo los datos necesarios para la finalidad?</t>
  </si>
  <si>
    <t>La recolección se revisa periódicamente para reducir campos innecesarios.</t>
  </si>
  <si>
    <t>Formularios, análisis de minimización, revisión de campos, evidencias de ajustes.</t>
  </si>
  <si>
    <t>Áreas / DPO / Marketing / Operaciones</t>
  </si>
  <si>
    <t>Revisar formularios y eliminar campos no necesarios.</t>
  </si>
  <si>
    <t>Actualización del RAT por cambios</t>
  </si>
  <si>
    <t>¿Existe procedimiento para actualizar el RAT cuando cambian procesos, sistemas o proveedores?</t>
  </si>
  <si>
    <t>Todo cambio relevante dispara revisión de inventario, RAT, riesgos, avisos y proveedores.</t>
  </si>
  <si>
    <t>Procedimiento de gestión de cambios, bitácora de cambios, RAT actualizado.</t>
  </si>
  <si>
    <t>DPO / TI / Procesos</t>
  </si>
  <si>
    <t>Incluir protección de datos en el proceso de gestión de cambios.</t>
  </si>
  <si>
    <t>Transparencia e información al titular</t>
  </si>
  <si>
    <t>Aviso publicado, control de versión, evidencia de entrega o aceptación.</t>
  </si>
  <si>
    <t>DPO / Legal / Comunicación</t>
  </si>
  <si>
    <t>Actualizar aviso de privacidad y asegurar disponibilidad en canales físicos y digitales.</t>
  </si>
  <si>
    <t>Avisos por canal de recolección</t>
  </si>
  <si>
    <t>¿Los canales de recolección informan al titular antes o durante la captura de datos?</t>
  </si>
  <si>
    <t>Formularios, WhatsApp, web, presencial, teléfono y CRM incluyen información mínima y enlaces.</t>
  </si>
  <si>
    <t>Capturas de formularios, guiones, mensajes automáticos, avisos físicos.</t>
  </si>
  <si>
    <t>Marketing / Recepción / Operaciones</t>
  </si>
  <si>
    <t>Incorporar textos cortos de privacidad en cada canal de recolección.</t>
  </si>
  <si>
    <t>Lenguaje claro y no excesivamente jurídico</t>
  </si>
  <si>
    <t>¿La información al titular se presenta en lenguaje claro y comprensible?</t>
  </si>
  <si>
    <t>El aviso evita tecnicismos y permite comprensión por parte del titular promedio.</t>
  </si>
  <si>
    <t>Avisos revisados, versiones simplificadas, pruebas de lectura.</t>
  </si>
  <si>
    <t>Comunicación / DPO / Legal</t>
  </si>
  <si>
    <t>Redactar avisos en lenguaje claro, con versión breve y completa.</t>
  </si>
  <si>
    <t>Consentimiento informado cuando aplique</t>
  </si>
  <si>
    <t>¿Los consentimientos se solicitan de forma específica, separada y verificable cuando corresponde?</t>
  </si>
  <si>
    <t>El consentimiento es libre, específico, informado, verificable y revocable.</t>
  </si>
  <si>
    <t>Formatos de consentimiento, registros de aceptación, logs de formularios.</t>
  </si>
  <si>
    <t>Legal / DPO / Áreas</t>
  </si>
  <si>
    <t>Revisar usos que requieren consentimiento y separar autorizaciones específicas.</t>
  </si>
  <si>
    <t>Canales digitales y web</t>
  </si>
  <si>
    <t>¿La página web, landing pages y formularios digitales contienen información de privacidad adecuada?</t>
  </si>
  <si>
    <t>La web incluye aviso, cookies si aplica, bases, finalidades y mecanismo de derechos.</t>
  </si>
  <si>
    <t>URL, capturas, formularios, aviso web, configuración de cookies cuando aplique.</t>
  </si>
  <si>
    <t>Marketing / TI / DPO</t>
  </si>
  <si>
    <t>Ajustar formularios web y publicar aviso de privacidad actualizado.</t>
  </si>
  <si>
    <t>Comunicación por mensajería instantánea</t>
  </si>
  <si>
    <t>¿Los canales como WhatsApp o mensajería incluyen aviso corto y límites de uso de datos?</t>
  </si>
  <si>
    <t>Se usa guion/plantilla, se minimizan datos y se evita envío innecesario de información sensible.</t>
  </si>
  <si>
    <t>Guía WhatsApp, plantillas, capacitación, capturas de configuración.</t>
  </si>
  <si>
    <t>Atención al cliente / DPO</t>
  </si>
  <si>
    <t>Implementar guía de mensajería y mensajes de privacidad por canal.</t>
  </si>
  <si>
    <t>Aviso para colaboradores y candidatos</t>
  </si>
  <si>
    <t>¿Existen avisos específicos para empleados, candidatos y prestadores de servicios?</t>
  </si>
  <si>
    <t>La gestión de talento humano informa finalidades, bases, conservación, transferencias y derechos.</t>
  </si>
  <si>
    <t>Aviso laboral, formularios de selección, contratos, inducción.</t>
  </si>
  <si>
    <t>Talento Humano / DPO</t>
  </si>
  <si>
    <t>Implementar aviso de privacidad laboral y de selección.</t>
  </si>
  <si>
    <t>Videovigilancia y controles de acceso físico</t>
  </si>
  <si>
    <t>¿La videovigilancia o controles de acceso físico cuentan con información visible al titular?</t>
  </si>
  <si>
    <t>Existen carteles, aviso complementario, finalidad, responsable y conservación de imágenes.</t>
  </si>
  <si>
    <t>Carteles, política CCTV, registro de cámaras, controles de acceso.</t>
  </si>
  <si>
    <t>Seguridad física / Administración / DPO</t>
  </si>
  <si>
    <t>Regular videovigilancia y colocar avisos visibles.</t>
  </si>
  <si>
    <t>Derechos de titulares</t>
  </si>
  <si>
    <t>Procedimiento de derechos de titulares</t>
  </si>
  <si>
    <t>El procedimiento define canales, responsables, verificación de identidad, registro, análisis, respuesta, escalamiento y evidencias.</t>
  </si>
  <si>
    <t>Procedimiento, flujo, responsables, formatos, registro de solicitudes.</t>
  </si>
  <si>
    <t>DPO / Atención / Legal</t>
  </si>
  <si>
    <t>Crear o actualizar procedimiento de atención de derechos.</t>
  </si>
  <si>
    <t>Canal visible para solicitudes</t>
  </si>
  <si>
    <t>¿El titular conoce dónde y cómo presentar solicitudes de derechos?</t>
  </si>
  <si>
    <t>El canal está publicado en avisos, web, formularios o puntos de atención.</t>
  </si>
  <si>
    <t>Aviso de privacidad, correo/canal, web, cartelera, scripts de atención.</t>
  </si>
  <si>
    <t>Publicar canal de derechos y comunicarlo internamente.</t>
  </si>
  <si>
    <t>Registro de solicitudes</t>
  </si>
  <si>
    <t>¿Se lleva un registro de solicitudes de derechos y su estado?</t>
  </si>
  <si>
    <t>El registro permite trazabilidad de fecha, identidad, derecho, responsable, respuesta y cierre.</t>
  </si>
  <si>
    <t>Bitácora de derechos, evidencias de respuesta, plazos internos.</t>
  </si>
  <si>
    <t>Implementar registro centralizado de solicitudes de derechos.</t>
  </si>
  <si>
    <t>Verificación de identidad</t>
  </si>
  <si>
    <t>¿Existe un mecanismo proporcional para verificar identidad antes de entregar información?</t>
  </si>
  <si>
    <t>Procedimiento, checklist, evidencias de validación, formatos de representación.</t>
  </si>
  <si>
    <t>Atención / Legal / DPO</t>
  </si>
  <si>
    <t>Definir criterios de verificación de identidad y representación.</t>
  </si>
  <si>
    <t>Respuestas tipo y criterios de excepción</t>
  </si>
  <si>
    <t>¿Existen modelos de respuesta y criterios para aceptación, rechazo o limitación?</t>
  </si>
  <si>
    <t>Hay plantillas y criterios documentados para responder de forma consistente.</t>
  </si>
  <si>
    <t>Plantillas, criterios de excepción, revisión legal, bitácora.</t>
  </si>
  <si>
    <t>Legal / DPO</t>
  </si>
  <si>
    <t>Crear respuestas tipo y criterios de escalamiento.</t>
  </si>
  <si>
    <t>Escalamiento interno</t>
  </si>
  <si>
    <t>¿Las solicitudes complejas se escalan a responsables adecuados?</t>
  </si>
  <si>
    <t>Existe escalamiento a DPO, legal, TI o área dueña del dato según complejidad.</t>
  </si>
  <si>
    <t>Flujo de escalamiento, actas, correos, bitácoras.</t>
  </si>
  <si>
    <t>DPO / Legal / TI</t>
  </si>
  <si>
    <t>Formalizar escalamiento para solicitudes complejas o de alto riesgo.</t>
  </si>
  <si>
    <t>Capacitación sobre derechos</t>
  </si>
  <si>
    <t>¿El personal de atención conoce cómo identificar y canalizar una solicitud de derechos?</t>
  </si>
  <si>
    <t>El personal reconoce solicitudes aunque no usen términos jurídicos.</t>
  </si>
  <si>
    <t>Material de capacitación, asistencia, evaluación, guion de atención.</t>
  </si>
  <si>
    <t>Talento Humano / Atención / DPO</t>
  </si>
  <si>
    <t>Capacitar al personal de atención y canales digitales.</t>
  </si>
  <si>
    <t>Prueba o simulación de atención de derechos</t>
  </si>
  <si>
    <t>¿Se han realizado pruebas o simulaciones para validar el procedimiento de derechos?</t>
  </si>
  <si>
    <t>Se realizan ejercicios, se documentan tiempos, fallas y mejoras.</t>
  </si>
  <si>
    <t>Acta de simulación, resultados, acciones correctivas.</t>
  </si>
  <si>
    <t>DPO / Atención / Auditoría</t>
  </si>
  <si>
    <t>Ejecutar simulación semestral de solicitud de derechos.</t>
  </si>
  <si>
    <t>Encargados, proveedores y transferencias</t>
  </si>
  <si>
    <t>Matriz de terceros, contratos, due diligence, clasificación de criticidad.</t>
  </si>
  <si>
    <t>Compras / Legal / DPO / TI</t>
  </si>
  <si>
    <t>Crear matriz de proveedores/encargados con criticidad de datos.</t>
  </si>
  <si>
    <t>Contratos con cláusulas de tratamiento</t>
  </si>
  <si>
    <t>¿Los contratos con encargados incluyen cláusulas de confidencialidad y tratamiento adecuado?</t>
  </si>
  <si>
    <t>Los contratos regulan instrucciones, seguridad, subencargados, devolución/eliminación y auditoría.</t>
  </si>
  <si>
    <t>Contratos, anexos de tratamiento, cláusulas, NDA.</t>
  </si>
  <si>
    <t>Legal / Compras / DPO</t>
  </si>
  <si>
    <t>Actualizar contratos con cláusulas de encargado y confidencialidad.</t>
  </si>
  <si>
    <t>Evaluación previa de proveedores críticos</t>
  </si>
  <si>
    <t>Cuestionario proveedor, evidencias de seguridad, aprobación, matriz de riesgos.</t>
  </si>
  <si>
    <t>Compras / TI / DPO</t>
  </si>
  <si>
    <t>Implementar evaluación previa de proveedores críticos.</t>
  </si>
  <si>
    <t>Servicios en nube y software SaaS</t>
  </si>
  <si>
    <t>¿Los servicios cloud/SaaS tienen evaluación de seguridad, ubicación y condiciones de tratamiento?</t>
  </si>
  <si>
    <t>Se revisan términos, ubicación, seguridad, respaldo, soporte, subprocesadores y acceso administrativo.</t>
  </si>
  <si>
    <t>Contratos cloud, DPA, certificaciones, configuración, matriz de nube.</t>
  </si>
  <si>
    <t>TI / DPO / Legal</t>
  </si>
  <si>
    <t>Revisar proveedores cloud/SaaS y documentar riesgos y controles.</t>
  </si>
  <si>
    <t>Transferencias internacionales</t>
  </si>
  <si>
    <t>¿Se identifican y gestionan transferencias internacionales de datos personales?</t>
  </si>
  <si>
    <t>Las transferencias se documentan, justifican y respaldan con garantías aplicables.</t>
  </si>
  <si>
    <t>Matriz de transferencias, contratos, proveedores, ubicaciones, cláusulas.</t>
  </si>
  <si>
    <t>Legal / DPO / TI</t>
  </si>
  <si>
    <t>Identificar transferencias internacionales y definir salvaguardas.</t>
  </si>
  <si>
    <t>Acceso de soporte técnico</t>
  </si>
  <si>
    <t>¿El soporte técnico interno/externo tiene controles de acceso temporal, trazabilidad y confidencialidad?</t>
  </si>
  <si>
    <t>Accesos con autorización, tiempo limitado, usuario individual, bitácora y mínimo privilegio.</t>
  </si>
  <si>
    <t>Logs, tickets, acuerdos, matriz de accesos, evidencias de soporte.</t>
  </si>
  <si>
    <t>TI / Proveedores / DPO</t>
  </si>
  <si>
    <t>Controlar accesos de soporte con tickets, logs y revocación.</t>
  </si>
  <si>
    <t>Subencargados</t>
  </si>
  <si>
    <t>¿Los proveedores informan o requieren autorización para subencargados?</t>
  </si>
  <si>
    <t>Los subencargados están identificados y se aplican obligaciones equivalentes.</t>
  </si>
  <si>
    <t>Contratos, lista de subprocesadores, notificaciones, aprobaciones.</t>
  </si>
  <si>
    <t>Incluir gestión de subencargados en contratos críticos.</t>
  </si>
  <si>
    <t>Salida, devolución o eliminación al terminar servicios</t>
  </si>
  <si>
    <t>¿Se controla la devolución o eliminación de datos al finalizar una relación con proveedores?</t>
  </si>
  <si>
    <t>Existe procedimiento de cierre con evidencia de devolución, borrado o destrucción segura.</t>
  </si>
  <si>
    <t>Actas de cierre, certificados de eliminación, tickets, cláusulas de salida.</t>
  </si>
  <si>
    <t>Compras / TI / DPO / Legal</t>
  </si>
  <si>
    <t>Establecer checklist de salida y eliminación de datos por proveedor.</t>
  </si>
  <si>
    <t>Seguridad de datos personales</t>
  </si>
  <si>
    <t>Levantar y revisar matriz de accesos por rol en sistemas críticos.</t>
  </si>
  <si>
    <t>Usuarios individuales y no compartidos</t>
  </si>
  <si>
    <t>¿Se evita el uso de usuarios compartidos en sistemas críticos?</t>
  </si>
  <si>
    <t>Cada usuario tiene credenciales individuales, trazabilidad y baja oportuna.</t>
  </si>
  <si>
    <t>Lista de usuarios, políticas de acceso, logs, procedimiento de altas/bajas.</t>
  </si>
  <si>
    <t>TI / Talento Humano</t>
  </si>
  <si>
    <t>Eliminar usuarios compartidos y formalizar altas, cambios y bajas.</t>
  </si>
  <si>
    <t>Autenticación robusta y MFA</t>
  </si>
  <si>
    <t>¿Se aplica autenticación robusta y MFA en correo, nube, core, VPN, administración y accesos críticos?</t>
  </si>
  <si>
    <t>Los accesos críticos tienen MFA o controles compensatorios, políticas de contraseña, bloqueo, gestión de privilegios y revisión periódica.</t>
  </si>
  <si>
    <t>Capturas de configuración, políticas, reporte de usuarios con MFA.</t>
  </si>
  <si>
    <t>TI / Seguridad</t>
  </si>
  <si>
    <t>Implementar MFA en correo, nube, VPN, sistemas críticos y administradores.</t>
  </si>
  <si>
    <t>Respaldos y recuperación</t>
  </si>
  <si>
    <t>¿Existen respaldos periódicos y pruebas de restauración de información crítica?</t>
  </si>
  <si>
    <t>Backups automatizados, protegidos, con pruebas documentadas y objetivos definidos.</t>
  </si>
  <si>
    <t>Política de respaldos, logs, pruebas de restauración, reportes.</t>
  </si>
  <si>
    <t>TI / Continuidad</t>
  </si>
  <si>
    <t>Documentar política de respaldos y ejecutar pruebas de restauración.</t>
  </si>
  <si>
    <t>Cifrado y protección de dispositivos</t>
  </si>
  <si>
    <t>¿Se aplican controles de cifrado o protección en laptops, móviles y medios removibles?</t>
  </si>
  <si>
    <t>Dispositivos con cifrado, bloqueo, control de USB y gestión de pérdida/robo.</t>
  </si>
  <si>
    <t>Inventario de dispositivos, configuración, MDM, políticas.</t>
  </si>
  <si>
    <t>Implementar cifrado y controles de endpoints según riesgo.</t>
  </si>
  <si>
    <t>Registro, monitoreo y trazabilidad</t>
  </si>
  <si>
    <t>¿Los sistemas críticos registran accesos, cambios y eventos relevantes?</t>
  </si>
  <si>
    <t>Logs habilitados, conservados y revisados para detectar accesos indebidos.</t>
  </si>
  <si>
    <t>Logs, SIEM/reportes, bitácoras, revisión periódica.</t>
  </si>
  <si>
    <t>TI / Seguridad / DPO</t>
  </si>
  <si>
    <t>Habilitar registros de acceso y revisión periódica en sistemas críticos.</t>
  </si>
  <si>
    <t>Gestión de vulnerabilidades y parches</t>
  </si>
  <si>
    <t>¿Existe proceso de actualización, parches y gestión de vulnerabilidades?</t>
  </si>
  <si>
    <t>Se priorizan vulnerabilidades según criticidad y exposición de datos personales.</t>
  </si>
  <si>
    <t>Inventario TI, plan de parches, reportes de vulnerabilidad, evidencias.</t>
  </si>
  <si>
    <t>Establecer ciclo de parches y seguimiento de vulnerabilidades.</t>
  </si>
  <si>
    <t>Seguridad física, archivo y puesto limpio</t>
  </si>
  <si>
    <t>¿Existen controles físicos sobre documentos, archivos y puestos con datos personales?</t>
  </si>
  <si>
    <t>Archivo bajo control, acceso limitado, puesto limpio, impresión segura y destrucción adecuada.</t>
  </si>
  <si>
    <t>Política de archivo, registros de acceso, capacitación, trituradoras/servicios.</t>
  </si>
  <si>
    <t>Administración / Archivo / Seguridad</t>
  </si>
  <si>
    <t>Implementar controles físicos, archivo seguro y política de puesto limpio.</t>
  </si>
  <si>
    <t>Incidentes y vulneraciones</t>
  </si>
  <si>
    <t>Procedimiento de incidentes de datos personales</t>
  </si>
  <si>
    <t>¿Existe procedimiento formal para incidentes, envío indebido, acceso no autorizado, pérdida o indisponibilidad de datos personales?</t>
  </si>
  <si>
    <t>Define detección, registro, clasificación, contención, escalamiento, análisis de titulares afectados, comunicación, evidencias y lecciones aprendidas.</t>
  </si>
  <si>
    <t>Procedimiento, flujo, roles, matriz de severidad, contactos.</t>
  </si>
  <si>
    <t>DPO / TI / Seguridad / Legal</t>
  </si>
  <si>
    <t>Crear o actualizar procedimiento de incidentes de datos personales.</t>
  </si>
  <si>
    <t>Registro de incidentes</t>
  </si>
  <si>
    <t>¿Se mantiene un registro de incidentes, sospechas y eventos relevantes?</t>
  </si>
  <si>
    <t>El registro documenta fecha, tipo, datos afectados, medidas, responsables y lecciones aprendidas.</t>
  </si>
  <si>
    <t>Bitácora de incidentes, reportes, tickets, evidencias de cierre.</t>
  </si>
  <si>
    <t>TI / DPO / Seguridad</t>
  </si>
  <si>
    <t>Implementar registro centralizado de incidentes y vulneraciones.</t>
  </si>
  <si>
    <t>Clasificación de severidad</t>
  </si>
  <si>
    <t>¿Los incidentes se clasifican según impacto en titulares y datos afectados?</t>
  </si>
  <si>
    <t>Se aplica criterio para diferenciar eventos, incidentes y vulneraciones de seguridad.</t>
  </si>
  <si>
    <t>Matriz de severidad, ejemplos, actas de evaluación, registros.</t>
  </si>
  <si>
    <t>DPO / TI / Legal</t>
  </si>
  <si>
    <t>Definir criterios de severidad y documentación de evaluación.</t>
  </si>
  <si>
    <t>Escalamiento a dirección y áreas críticas</t>
  </si>
  <si>
    <t>¿Existe escalamiento oportuno a dirección, TI, legal, DPO y áreas afectadas?</t>
  </si>
  <si>
    <t>Roles y contactos están definidos, con tiempos de respuesta por criticidad.</t>
  </si>
  <si>
    <t>Matriz de escalamiento, contactos, SLA internos, actas.</t>
  </si>
  <si>
    <t>DPO / TI / Gerencia</t>
  </si>
  <si>
    <t>Definir matriz de escalamiento y contactos actualizados.</t>
  </si>
  <si>
    <t>Contención y preservación de evidencia</t>
  </si>
  <si>
    <t>¿Se documentan medidas de contención y preservación de evidencia?</t>
  </si>
  <si>
    <t>Se resguarda evidencia mínima para análisis y mejora sin exposición innecesaria.</t>
  </si>
  <si>
    <t>Checklists, capturas, logs, tickets, reporte post incidente.</t>
  </si>
  <si>
    <t>Incluir preservación de evidencia y cadena mínima de custodia técnica.</t>
  </si>
  <si>
    <t>Criterios de notificación</t>
  </si>
  <si>
    <t>¿Existe criterio para evaluar si corresponde notificar a titulares o autoridad?</t>
  </si>
  <si>
    <t>El procedimiento incluye evaluación normativa, impacto y decisión documentada.</t>
  </si>
  <si>
    <t>Procedimiento, actas de decisión, criterios legales, plantillas.</t>
  </si>
  <si>
    <t>Legal / DPO / Gerencia</t>
  </si>
  <si>
    <t>Definir criterios de notificación y responsables de decisión.</t>
  </si>
  <si>
    <t>Pruebas o simulacros tabletop</t>
  </si>
  <si>
    <t>¿Se realizan simulacros de incidentes de datos personales?</t>
  </si>
  <si>
    <t>Se prueban escenarios realistas, se miden tiempos y se corrigen brechas.</t>
  </si>
  <si>
    <t>Actas de simulacro, escenarios, resultados, plan de mejora.</t>
  </si>
  <si>
    <t>DPO / TI / Seguridad</t>
  </si>
  <si>
    <t>Ejecutar simulacro semestral de incidente de datos personales.</t>
  </si>
  <si>
    <t>Lecciones aprendidas y medidas correctivas</t>
  </si>
  <si>
    <t>¿Los incidentes generan acciones correctivas y seguimiento hasta cierre?</t>
  </si>
  <si>
    <t>Cada incidente relevante tiene causa raíz, acciones, responsables y evidencia de cierre.</t>
  </si>
  <si>
    <t>Reporte post incidente, matriz de acciones, evidencias de cierre.</t>
  </si>
  <si>
    <t>DPO / TI / Dueños de proceso</t>
  </si>
  <si>
    <t>Incluir análisis post incidente y seguimiento de acciones.</t>
  </si>
  <si>
    <t>Riesgos, EIPD, LIA y privacidad desde el diseño</t>
  </si>
  <si>
    <t>Metodología de gestión de riesgos de datos personales</t>
  </si>
  <si>
    <t>¿Existe metodología para identificar, analizar, evaluar y tratar riesgos de protección de datos?</t>
  </si>
  <si>
    <t>La metodología considera derechos y libertades de titulares, amenazas, vulnerabilidades y controles.</t>
  </si>
  <si>
    <t>Metodología, matriz de riesgos, criterios, reportes.</t>
  </si>
  <si>
    <t>DPO / Riesgos / TI / Legal</t>
  </si>
  <si>
    <t>Adoptar metodología de riesgos alineada a protección de datos.</t>
  </si>
  <si>
    <t>Registro de riesgos de protección de datos</t>
  </si>
  <si>
    <t>¿Existe registro actualizado de riesgos por tratamiento o proceso?</t>
  </si>
  <si>
    <t>El registro incluye escenarios, probabilidad, impacto, controles, riesgo residual y tratamiento.</t>
  </si>
  <si>
    <t>Matriz de riesgos, plan de tratamiento, evidencias de seguimiento.</t>
  </si>
  <si>
    <t>Riesgos / DPO / Áreas</t>
  </si>
  <si>
    <t>Levantar registro de riesgos por tratamiento crítico.</t>
  </si>
  <si>
    <t>Criterios para EIPD</t>
  </si>
  <si>
    <t>¿Se cuenta con criterios para determinar cuándo realizar una EIPD?</t>
  </si>
  <si>
    <t>Los criterios consideran alto riesgo, datos sensibles, volumen, tecnología, perfilamiento y grupos vulnerables.</t>
  </si>
  <si>
    <t>Procedimiento EIPD, checklist de activación, actas de decisión.</t>
  </si>
  <si>
    <t>Definir criterios de activación de EIPD y registro de decisiones.</t>
  </si>
  <si>
    <t>EIPD para tratamientos de alto riesgo</t>
  </si>
  <si>
    <t>¿Los tratamientos de alto riesgo cuentan con EIPD o evaluación proporcional documentada?</t>
  </si>
  <si>
    <t>Se documentan riesgos, medidas, necesidad/proporcionalidad, consulta y riesgo residual.</t>
  </si>
  <si>
    <t>EIPD, matrices, aprobaciones, plan de mitigación.</t>
  </si>
  <si>
    <t>DPO / Riesgos / Dueños de proceso</t>
  </si>
  <si>
    <t>Realizar EIPD para tratamientos de alto riesgo identificados.</t>
  </si>
  <si>
    <t>Interés legítimo y LIA</t>
  </si>
  <si>
    <t>¿Cuando se usa interés legítimo existe análisis de ponderación documentado?</t>
  </si>
  <si>
    <t>Se evalúa finalidad, necesidad, balance con derechos del titular y salvaguardas.</t>
  </si>
  <si>
    <t>Matriz LIA, rationale, salvaguardas, avisos.</t>
  </si>
  <si>
    <t>Legal / DPO / Área dueña</t>
  </si>
  <si>
    <t>Documentar LIA antes de usar interés legítimo en tratamientos aplicables.</t>
  </si>
  <si>
    <t>Privacidad desde el diseño y por defecto</t>
  </si>
  <si>
    <t>¿Los nuevos proyectos/sistemas incorporan privacidad desde el diseño y por defecto?</t>
  </si>
  <si>
    <t>Existe checklist en gestión de proyectos, cambios, sistemas, formularios y automatizaciones.</t>
  </si>
  <si>
    <t>Checklist PbD, actas de proyecto, revisiones DPO, evidencias de configuración.</t>
  </si>
  <si>
    <t>TI / Proyectos / DPO</t>
  </si>
  <si>
    <t>Incluir checklist de privacidad desde el diseño en proyectos y cambios.</t>
  </si>
  <si>
    <t>Anonimización, seudonimización y minimización avanzada</t>
  </si>
  <si>
    <t>¿Se aplican técnicas de anonimización/seudonimización cuando se usan datos para análisis o pruebas?</t>
  </si>
  <si>
    <t>Se evita usar datos reales si no es necesario y se documentan técnicas aplicadas.</t>
  </si>
  <si>
    <t>Procedimiento, datasets anonimizados, pruebas, evaluación de reidentificación.</t>
  </si>
  <si>
    <t>TI / Analítica / DPO</t>
  </si>
  <si>
    <t>Implementar reglas para datos de prueba, análisis y reportes.</t>
  </si>
  <si>
    <t>Revisión de cambios y nuevos tratamientos</t>
  </si>
  <si>
    <t>¿Los cambios relevantes disparan revisión de riesgos, EIPD, avisos, contratos y controles?</t>
  </si>
  <si>
    <t>Existe flujo de gestión de cambios con participación de DPO/TI/legal según riesgo.</t>
  </si>
  <si>
    <t>Procedimiento de cambios, bitácora, aprobaciones, revisiones.</t>
  </si>
  <si>
    <t>TI / Procesos / DPO / Legal</t>
  </si>
  <si>
    <t>Integrar revisión de privacidad al proceso de cambios.</t>
  </si>
  <si>
    <t>Plan anual de capacitación</t>
  </si>
  <si>
    <t>¿Existe plan anual de capacitación en protección de datos personales?</t>
  </si>
  <si>
    <t>El plan cubre roles, riesgos, canales, incidentes, derechos y seguridad básica.</t>
  </si>
  <si>
    <t>Plan de capacitación, calendario, materiales, reportes.</t>
  </si>
  <si>
    <t>Definir plan anual de capacitación por perfiles.</t>
  </si>
  <si>
    <t>Inducción a nuevos colaboradores</t>
  </si>
  <si>
    <t>¿La inducción incluye confidencialidad y protección de datos desde el ingreso?</t>
  </si>
  <si>
    <t>Todo nuevo colaborador recibe capacitación y firma compromisos aplicables.</t>
  </si>
  <si>
    <t>Material de inducción, listas de asistencia, contratos, NDA.</t>
  </si>
  <si>
    <t>Incorporar protección de datos en inducción y onboarding.</t>
  </si>
  <si>
    <t>Capacitación por rol</t>
  </si>
  <si>
    <t>¿El personal recibe formación específica según su exposición a datos personales?</t>
  </si>
  <si>
    <t>Atención, TI, RRHH, marketing, finanzas y dirección reciben contenidos diferenciados.</t>
  </si>
  <si>
    <t>Mallas por rol, evaluaciones, asistencia, cápsulas.</t>
  </si>
  <si>
    <t>DPO / Talento Humano / Áreas</t>
  </si>
  <si>
    <t>Diseñar capacitaciones por rol y riesgo.</t>
  </si>
  <si>
    <t>Evaluación de comprensión</t>
  </si>
  <si>
    <t>¿Se mide la comprensión del personal después de las capacitaciones?</t>
  </si>
  <si>
    <t>Se aplican evaluaciones y refuerzos según resultados.</t>
  </si>
  <si>
    <t>Tests, encuestas, resultados, plan de refuerzo.</t>
  </si>
  <si>
    <t>Aplicar evaluación breve posterior a capacitaciones.</t>
  </si>
  <si>
    <t>Campañas de cultura y recordatorios</t>
  </si>
  <si>
    <t>¿Existen campañas internas sobre confidencialidad, phishing, WhatsApp y datos personales?</t>
  </si>
  <si>
    <t>Se realizan comunicaciones periódicas y prácticas.</t>
  </si>
  <si>
    <t>Comunicados, afiches, cápsulas, mensajes internos.</t>
  </si>
  <si>
    <t>Comunicación / DPO / TI</t>
  </si>
  <si>
    <t>Implementar campañas trimestrales de cultura de privacidad.</t>
  </si>
  <si>
    <t>Auditoría o revisión interna</t>
  </si>
  <si>
    <t>¿Se realizan revisiones internas del SGPDP y sus evidencias?</t>
  </si>
  <si>
    <t>Se revisan documentos, registros, incidentes, derechos, proveedores y controles al menos anualmente.</t>
  </si>
  <si>
    <t>Informe de auditoría interna, checklist, plan de cierre.</t>
  </si>
  <si>
    <t>Auditoría / DPO / Cumplimiento</t>
  </si>
  <si>
    <t>Programar auditoría interna anual de protección de datos.</t>
  </si>
  <si>
    <t>Seguimiento de acciones correctivas</t>
  </si>
  <si>
    <t>¿Las brechas identificadas tienen responsable, plazo, estado y evidencia de cierre?</t>
  </si>
  <si>
    <t>Existe plan de acción activo y revisado periódicamente.</t>
  </si>
  <si>
    <t>Plan de acción, semáforo, evidencias, actas.</t>
  </si>
  <si>
    <t>DPO / Gerencia / Áreas</t>
  </si>
  <si>
    <t>Gestionar plan de acción con responsables y evidencias.</t>
  </si>
  <si>
    <t>Mejora continua y revisión por dirección</t>
  </si>
  <si>
    <t>¿La alta dirección revisa periódicamente resultados, riesgos y madurez del SGPDP?</t>
  </si>
  <si>
    <t>Se presentan indicadores, brechas, riesgos residuales y decisiones de mejora.</t>
  </si>
  <si>
    <t>Informe anual/semestral, actas, hoja de ruta, KPIs.</t>
  </si>
  <si>
    <t>Gerencia / DPO / Cumplimiento</t>
  </si>
  <si>
    <t>Establecer revisión por dirección y hoja de ruta anual.</t>
  </si>
  <si>
    <t>Resultados por dimensión del SGPDP</t>
  </si>
  <si>
    <t>Ítems aplicables</t>
  </si>
  <si>
    <t>Ítems evaluados</t>
  </si>
  <si>
    <t>% cobertura</t>
  </si>
  <si>
    <t>Score dimensión</t>
  </si>
  <si>
    <t>Nivel dimensión</t>
  </si>
  <si>
    <t>Brechas críticas/altas</t>
  </si>
  <si>
    <t>Observación automática</t>
  </si>
  <si>
    <t>Criterios de madurez del SGPDP</t>
  </si>
  <si>
    <t>Nombre</t>
  </si>
  <si>
    <t>Criterio operativo</t>
  </si>
  <si>
    <t>Evidencia típica</t>
  </si>
  <si>
    <t>Qué demuestra</t>
  </si>
  <si>
    <t>Rango global</t>
  </si>
  <si>
    <t>Inicial / Reactivo</t>
  </si>
  <si>
    <t>No existe o se gestiona informalmente; depende de personas y no de un sistema.</t>
  </si>
  <si>
    <t>Entrevista verbal, prácticas no documentadas.</t>
  </si>
  <si>
    <t>Baja capacidad de demostrar cumplimiento.</t>
  </si>
  <si>
    <t>0% - 39%</t>
  </si>
  <si>
    <t>Básico / Repetible</t>
  </si>
  <si>
    <t>Existen prácticas aisladas o documentos iniciales, pero no están integrados ni son uniformes.</t>
  </si>
  <si>
    <t>Documentos parciales, formatos iniciales, acciones puntuales.</t>
  </si>
  <si>
    <t>Cumplimiento incipiente con brechas estructurales.</t>
  </si>
  <si>
    <t>40% - 59%</t>
  </si>
  <si>
    <t>Definido / Documentado</t>
  </si>
  <si>
    <t>Existen políticas, matrices, procedimientos y responsables definidos.</t>
  </si>
  <si>
    <t>Documentos aprobados, matrices, registros parciales.</t>
  </si>
  <si>
    <t>Base de cumplimiento organizada pero con evidencia operativa limitada.</t>
  </si>
  <si>
    <t>60% - 74%</t>
  </si>
  <si>
    <t>Gestionado / Demostrable</t>
  </si>
  <si>
    <t>El sistema se aplica, se revisa, tiene seguimiento, métricas y evidencias periódicas.</t>
  </si>
  <si>
    <t>Registros, actas, indicadores, auditorías internas, seguimiento de brechas.</t>
  </si>
  <si>
    <t>Cumplimiento operativo y demostrable.</t>
  </si>
  <si>
    <t>75% - 89%</t>
  </si>
  <si>
    <t>Optimizado / Mejora continua</t>
  </si>
  <si>
    <t>El sistema está integrado a gobierno, riesgos, seguridad, proveedores, proyectos y mejora continua.</t>
  </si>
  <si>
    <t>KPIs, revisión por dirección, DPO activo, auditorías, simulacros, mejoras recurrentes.</t>
  </si>
  <si>
    <t>Madurez avanzada y resiliente.</t>
  </si>
  <si>
    <t>90% - 100%</t>
  </si>
  <si>
    <t>Plan de acción derivado de la Matriz SGPDP</t>
  </si>
  <si>
    <t>Use filtros para priorizar Crítico/Alto y estados Pendiente/En progreso. Esta hoja replica los ítems evaluados para seguimiento.</t>
  </si>
  <si>
    <t>Control</t>
  </si>
  <si>
    <t>Riesgo</t>
  </si>
  <si>
    <t>Prioridad</t>
  </si>
  <si>
    <t>Responsable</t>
  </si>
  <si>
    <t>Plazo</t>
  </si>
  <si>
    <t>Estado</t>
  </si>
  <si>
    <t>Catálogos del modelo</t>
  </si>
  <si>
    <t>Bloqueante</t>
  </si>
  <si>
    <t>Crítica</t>
  </si>
  <si>
    <t>Alta</t>
  </si>
  <si>
    <t>Media</t>
  </si>
  <si>
    <t>Baja</t>
  </si>
  <si>
    <t>Pendiente</t>
  </si>
  <si>
    <t>En proceso</t>
  </si>
  <si>
    <t>Cerrado</t>
  </si>
  <si>
    <t>No iniciado</t>
  </si>
  <si>
    <t>No aplica</t>
  </si>
  <si>
    <t>Criterio evidencia 0</t>
  </si>
  <si>
    <t>Sin evidencia / declaración verbal</t>
  </si>
  <si>
    <t>Criterio evidencia 1</t>
  </si>
  <si>
    <t>Evidencia informal: correo, captura, práctica no formalizada</t>
  </si>
  <si>
    <t>Criterio evidencia 2</t>
  </si>
  <si>
    <t>Evidencia documental: política, matriz, procedimiento, contrato</t>
  </si>
  <si>
    <t>Criterio evidencia 3</t>
  </si>
  <si>
    <t>Evidencia operativa: registros, bitácoras, actas, solicitudes atendidas</t>
  </si>
  <si>
    <t>Criterio evidencia 4</t>
  </si>
  <si>
    <t>Evidencia gestionada: indicadores, auditoría, revisión y mejora</t>
  </si>
  <si>
    <t>Campo</t>
  </si>
  <si>
    <t>Qué significa</t>
  </si>
  <si>
    <t>Valores permitidos</t>
  </si>
  <si>
    <t>Cómo decidir</t>
  </si>
  <si>
    <t>Impacto en el cálculo</t>
  </si>
  <si>
    <t>Determina si el control entra o no al cálculo.</t>
  </si>
  <si>
    <t>Sí / No</t>
  </si>
  <si>
    <t>Si No: se excluye del score y riesgo.</t>
  </si>
  <si>
    <t>Criticidad</t>
  </si>
  <si>
    <t>Peso del control dentro de la madurez. No mide cumplimiento, mide importancia.</t>
  </si>
  <si>
    <t>1 a 5</t>
  </si>
  <si>
    <t>A mayor criticidad, mayor peso y mayor brecha si el nivel es bajo.</t>
  </si>
  <si>
    <t>Nivel asignado</t>
  </si>
  <si>
    <t>Madurez observada del control según entrevista y revisión.</t>
  </si>
  <si>
    <t>1 no existe; 2 parcial; 3 documentado; 4 aplicado con evidencias; 5 medido y mejorado.</t>
  </si>
  <si>
    <t>Se combina con evidencia para obtener nivel efectivo.</t>
  </si>
  <si>
    <t>Nivel evidencia</t>
  </si>
  <si>
    <t>Calidad de la evidencia que respalda el nivel asignado.</t>
  </si>
  <si>
    <t>0 a 4</t>
  </si>
  <si>
    <t>0 verbal; 1 informal; 2 documental; 3 operativa; 4 revisada con indicadores/auditoría.</t>
  </si>
  <si>
    <t>Limita el nivel efectivo mediante MIN(Nivel asignado, Evidencia+1).</t>
  </si>
  <si>
    <t>Nivel real reconocido por el modelo después de validar evidencia.</t>
  </si>
  <si>
    <t>Automático</t>
  </si>
  <si>
    <t>No se llena manualmente.</t>
  </si>
  <si>
    <t>Si asigna 5 pero evidencia 2, el nivel efectivo será 3.</t>
  </si>
  <si>
    <t>Base del score y del riesgo de brecha.</t>
  </si>
  <si>
    <t>Puntaje obtenido por el control.</t>
  </si>
  <si>
    <t>Fórmula: Nivel efectivo / 5 × Criticidad.</t>
  </si>
  <si>
    <t>Suma al score de dimensión y global.</t>
  </si>
  <si>
    <t>Criticidad de lo que falta para llegar a madurez 5.</t>
  </si>
  <si>
    <t>Fórmula conceptual: (5 - Nivel efectivo) × Criticidad.</t>
  </si>
  <si>
    <t>Procedimiento de incidentes con nivel 1 y criticidad 5 = brecha crítica.</t>
  </si>
  <si>
    <t>Prioriza acciones del plan.</t>
  </si>
  <si>
    <t>Control que impide declarar una madurez alta si está débil.</t>
  </si>
  <si>
    <t>Dashboard limita el nivel final ajustado.</t>
  </si>
  <si>
    <t>Escala de madurez</t>
  </si>
  <si>
    <t>Criterio resumido</t>
  </si>
  <si>
    <t>Evidencia esperada</t>
  </si>
  <si>
    <t>Nivel 1 - Inicial / Reactivo</t>
  </si>
  <si>
    <t>No existe o se gestiona informalmente.</t>
  </si>
  <si>
    <t>Declaraciones verbales o prácticas aisladas.</t>
  </si>
  <si>
    <t>Nivel 2 - Básico / Repetible</t>
  </si>
  <si>
    <t>Existe parcialmente o depende de personas; no está integrado.</t>
  </si>
  <si>
    <t>Borradores, correos, controles informales.</t>
  </si>
  <si>
    <t>Nivel 3 - Definido / Documentado</t>
  </si>
  <si>
    <t>Existe documento, responsable y criterio aprobado.</t>
  </si>
  <si>
    <t>Políticas, matrices, procedimientos, contratos, registros básicos.</t>
  </si>
  <si>
    <t>Nivel 4 - Gestionado / Demostrable</t>
  </si>
  <si>
    <t>Se aplica y se revisa con evidencia periódica.</t>
  </si>
  <si>
    <t>Actas, bitácoras, solicitudes atendidas, revisiones, reportes.</t>
  </si>
  <si>
    <t>Nivel 5 - Optimizado / Mejora continua</t>
  </si>
  <si>
    <t>Se mide, audita, corrige y mejora continuamente.</t>
  </si>
  <si>
    <t>Indicadores, auditoría, revisión por dirección/DPO, mejoras implementadas.</t>
  </si>
  <si>
    <t>Dashboard ejecutivo - Madurez del SGPDP para Empresas del Sector Comercio</t>
  </si>
  <si>
    <t>Antes de aplicar: completar 'Perfil Comercio' y revisar 'Guía Aplicación Comercio'. El resultado final se ajusta por cobertura, evidencia y bloqueantes; no debe interpretarse como certificación legal.</t>
  </si>
  <si>
    <t>Matriz de Madurez del Sistema de Gestión de Protección de Datos Personales - Sector Comercio Ecuador</t>
  </si>
  <si>
    <t>Versión borrador técnico-consultivo | Aplicable a empresas de comercio minorista, mayorista, e-commerce u omnicanal | Evaluación 1-5 con evidencia</t>
  </si>
  <si>
    <t>Uso didáctico: completar 'Perfil Comercio' y revisar la hoja 'Guía Aplicación Comercio'. Completar Aplica, Nivel asignado, Nivel evidencia, hallazgos y plan; el modelo calcula madurez, brechas y riesgo.</t>
  </si>
  <si>
    <t>Para una empresa comercial, validar mínimo: clientes y prospectos, tiendas/puntos de venta, POS y facturación, e-commerce si aplica, pagos, CRM/marketing, fidelización, logística/entregas, proveedores, RR. HH., seguridad e incidentes.</t>
  </si>
  <si>
    <t>Política de protección de datos personales para la empresa</t>
  </si>
  <si>
    <t>¿Existe una política interna de protección de datos personales aprobada, comunicada y adaptada a la operación comercial de la empresa?</t>
  </si>
  <si>
    <t>La política está aprobada, vigente, asigna roles y contempla clientes, prospectos, colaboradores, proveedores, puntos de venta, canales digitales, CRM, e-commerce si aplica y se revisa periódicamente.</t>
  </si>
  <si>
    <t>Evaluación de aplicabilidad y designación del DPD</t>
  </si>
  <si>
    <t>¿La empresa ha evaluado y documentado si está obligada a designar Delegado de Protección de Datos y, cuando corresponde, la designación está formalizada?</t>
  </si>
  <si>
    <t>Existe análisis documentado de aplicabilidad; si corresponde designación, el DPD está formalmente nombrado, registrado y cuenta con canal de contacto y acceso a dirección.</t>
  </si>
  <si>
    <t>Análisis de aplicabilidad, nombramiento/registro si corresponde, contrato o alcance, canal de contacto, informes del DPD.</t>
  </si>
  <si>
    <t>Gerencia / Legal / Privacidad</t>
  </si>
  <si>
    <t>Documentar la evaluación de aplicabilidad del DPD y, si corresponde, formalizar nombramiento, registro, canal y alcance.</t>
  </si>
  <si>
    <t>Independencia, recursos y seguimiento del DPD cuando aplique</t>
  </si>
  <si>
    <t>¿Cuando existe DPD, la empresa garantiza independencia, acceso a dirección, recursos y evidencia de seguimiento de sus recomendaciones?</t>
  </si>
  <si>
    <t>La función mantiene independencia y segregación respecto de decisiones sobre fines y medios del tratamiento; existe acceso a alta dirección y trazabilidad de recomendaciones.</t>
  </si>
  <si>
    <t>Actas, agenda, matriz de recomendaciones, reportes de seguimiento, evidencia de escalamiento.</t>
  </si>
  <si>
    <t>Gerencia / DPD / Legal / Áreas</t>
  </si>
  <si>
    <t>Formalizar independencia, línea de reporte, recursos y seguimiento de recomendaciones del DPD cuando aplique.</t>
  </si>
  <si>
    <t>Inventario de tratamientos de la empresa</t>
  </si>
  <si>
    <t>¿Existe un inventario actualizado de tratamientos de datos personales por proceso comercial y corporativo?</t>
  </si>
  <si>
    <t>El inventario identifica captación y registro de clientes, ventas/POS, facturación, e-commerce si aplica, pagos, marketing/CRM, servicio al cliente, logística, RR. HH., proveedores y seguridad.</t>
  </si>
  <si>
    <t>Registro de Actividades de Tratamiento (RAT)</t>
  </si>
  <si>
    <t>¿Existe un RAT actualizado y alineado con los procesos reales de la empresa?</t>
  </si>
  <si>
    <t>El RAT contiene actividades, finalidades, categorías de titulares, datos, destinatarios, conservación, medidas de seguridad, encargados y transferencias cuando correspondan.</t>
  </si>
  <si>
    <t>Datos sensibles y datos personales de mayor riesgo</t>
  </si>
  <si>
    <t>¿La empresa identifica datos sensibles y otros datos de mayor riesgo o impacto, y aplica controles reforzados cuando corresponde?</t>
  </si>
  <si>
    <t>Se identifican, según aplique, datos sensibles, biometría, datos de niñas/niños, geolocalización, datos de pago, perfiles de consumo u otra información de alto impacto, con controles proporcionales.</t>
  </si>
  <si>
    <t>Inventario/RAT, matriz de riesgos, clasificación de información, controles de acceso, EIPD cuando corresponda.</t>
  </si>
  <si>
    <t>Privacidad / TI / Áreas críticas</t>
  </si>
  <si>
    <t>Aviso de privacidad para clientes, prospectos y usuarios</t>
  </si>
  <si>
    <t>¿La empresa informa a clientes, prospectos y otros titulares sobre el tratamiento de sus datos personales?</t>
  </si>
  <si>
    <t>Los avisos son claros y accesibles en formularios, tiendas/puntos de venta, web, e-commerce/app si aplica, WhatsApp, CRM, programas de fidelización, entregas y reclamos.</t>
  </si>
  <si>
    <t>¿Existe un procedimiento formal para atender derechos de clientes, prospectos, colaboradores, proveedores y demás titulares?</t>
  </si>
  <si>
    <t>Se valida identidad y representación con medidas proporcionales al riesgo, especialmente antes de entregar datos sensibles, historial de cuenta, pedidos, pagos u otra información confidencial.</t>
  </si>
  <si>
    <t>Procesos críticos de comercio y ciclo de vida de datos</t>
  </si>
  <si>
    <t>Captación, registro y actualización de clientes</t>
  </si>
  <si>
    <t>¿La captación de prospectos, registro de clientes, creación de cuentas y actualización de datos controla qué información se recolecta, para qué y quién accede?</t>
  </si>
  <si>
    <t>Se definen datos mínimos, finalidades, base de legitimación, origen, accesos, actualización y conservación para prospectos y clientes; se eliminan campos innecesarios.</t>
  </si>
  <si>
    <t>Formularios físicos/digitales, ficha de cliente, CRM, aviso de privacidad, matriz de datos, consentimientos cuando apliquen.</t>
  </si>
  <si>
    <t>Ventas / Servicio al cliente / Marketing / Privacidad</t>
  </si>
  <si>
    <t>Mapear alta y actualización de clientes/prospectos; depurar campos, finalidades, bases, accesos y evidencias.</t>
  </si>
  <si>
    <t>Venta presencial, POS y facturación</t>
  </si>
  <si>
    <t>¿La venta en tienda o punto de venta y la facturación recolectan solo los datos necesarios y protegen su confidencialidad?</t>
  </si>
  <si>
    <t>POS, cajas y facturación delimitan datos requeridos, acceso por rol, visualización/impresión, exportaciones y conservación; se evita exponer datos innecesarios en comprobantes.</t>
  </si>
  <si>
    <t>Configuración POS, formularios/facturas, perfiles de caja, logs, procedimientos de venta y matrices de acceso.</t>
  </si>
  <si>
    <t>Ventas / Tiendas / Finanzas / TI</t>
  </si>
  <si>
    <t>Revisar los datos solicitados en POS y facturación, perfiles de acceso, comprobantes, exportaciones y plazos de conservación.</t>
  </si>
  <si>
    <t>E-commerce, cuentas de usuario y pedidos</t>
  </si>
  <si>
    <t>¿El sitio o plataforma de e-commerce gestiona de forma transparente y segura el registro, checkout, pedidos, historial y cuenta del cliente?</t>
  </si>
  <si>
    <t>Se minimizan campos de registro/checkout, se informa la finalidad, se controlan cuentas y sesiones, se protegen pedidos e historial y se revisan integraciones y cookies cuando correspondan.</t>
  </si>
  <si>
    <t>Web/app, flujo de registro y checkout, avisos, configuración de cuenta, cookies, logs, integraciones y contratos de plataforma.</t>
  </si>
  <si>
    <t>E-commerce / Marketing / TI / Privacidad</t>
  </si>
  <si>
    <t>Mapear el viaje digital del cliente desde registro/checkout hasta postventa; revisar minimización, avisos, cookies, cuentas, integraciones y seguridad.</t>
  </si>
  <si>
    <t>Pagos, pasarelas y prevención de fraude</t>
  </si>
  <si>
    <t>¿Los flujos de pago y prevención de fraude minimizan la exposición de datos y delimitan responsabilidades con pasarelas, adquirentes u otros terceros?</t>
  </si>
  <si>
    <t>Se documentan flujos y proveedores de pago; se evita conservar información completa de tarjetas cuando no sea necesaria; accesos, registros, incidentes y transferencias están controlados.</t>
  </si>
  <si>
    <t>Contratos/DPA con pasarelas, diagrama de flujo de pago, configuración de checkout/POS, evidencias de tokenización o controles equivalentes cuando aplique, logs e incidentes.</t>
  </si>
  <si>
    <t>Finanzas / TI / E-commerce / Cumplimiento</t>
  </si>
  <si>
    <t>Identificar flujos y terceros de pago; verificar minimización, almacenamiento, accesos, contratos, incidentes y responsabilidades.</t>
  </si>
  <si>
    <t>CRM, fidelización, promociones y marketing</t>
  </si>
  <si>
    <t>¿CRM, programas de fidelización, segmentación, promociones y campañas gestionan datos, preferencias y oposiciones de forma trazable?</t>
  </si>
  <si>
    <t>Se documenta el origen de los contactos, finalidades, segmentación/perfilamiento cuando aplique, preferencias, consentimiento cuando corresponda, baja/oposición y uso de listas.</t>
  </si>
  <si>
    <t>CRM, formularios de fidelización, bases de campañas, plantillas, registro de preferencias/consentimientos, segmentaciones y bajas.</t>
  </si>
  <si>
    <t>Marketing / Comercial / CRM / Privacidad</t>
  </si>
  <si>
    <t>Revisar CRM y marketing: origen de contactos, bases de legitimación, preferencias, segmentación, listas, bajas y trazabilidad.</t>
  </si>
  <si>
    <t>Servicio al cliente, devoluciones, garantías y reclamos</t>
  </si>
  <si>
    <t>¿La atención al cliente, devoluciones, garantías y reclamos verifican identidad y evitan solicitar o revelar información innecesaria?</t>
  </si>
  <si>
    <t>Los canales de atención definen datos mínimos, verificación proporcional de identidad, acceso al historial necesario, entrega de información a autorizados y conservación de tickets/reclamos.</t>
  </si>
  <si>
    <t>Procedimientos, tickets, formularios de devolución/garantía, guiones, registros de reclamos, evidencias de verificación de identidad.</t>
  </si>
  <si>
    <t>Servicio al cliente / Postventa / Legal / Privacidad</t>
  </si>
  <si>
    <t>Formalizar reglas de privacidad para atención, devoluciones, garantías y reclamos; revisar identificación, campos, accesos y conservación.</t>
  </si>
  <si>
    <t>Logística, despacho, entrega y retiro</t>
  </si>
  <si>
    <t>¿La preparación, despacho, entrega a domicilio o retiro en tienda comparte únicamente los datos necesarios y controla el acceso de personal y terceros?</t>
  </si>
  <si>
    <t>Se limitan nombres, teléfonos, direcciones y datos de entrega a lo necesario; se controlan accesos de bodega/logística, couriers, evidencias de entrega y eliminación/retención.</t>
  </si>
  <si>
    <t>Órdenes de despacho, etiquetas, contratos con couriers, perfiles de acceso, comprobantes de entrega, políticas de retención y registros.</t>
  </si>
  <si>
    <t>Logística / Bodega / E-commerce / Proveedores</t>
  </si>
  <si>
    <t>Mapear datos de despacho y entrega; minimizar etiquetas/documentos, controlar couriers y definir acceso y conservación de evidencias.</t>
  </si>
  <si>
    <t>Talento humano, contratación y nómina</t>
  </si>
  <si>
    <t>¿La gestión de postulantes, colaboradores, nómina, beneficios y desvinculación aplica controles de privacidad, acceso y conservación?</t>
  </si>
  <si>
    <t>Se controlan expedientes laborales, selección, nómina, afiliaciones, accesos, confidencialidad, bajas, datos sensibles laborales cuando existan y conservación.</t>
  </si>
  <si>
    <t>Expedientes, avisos laborales, contratos, NDA, registros de capacitación, matriz de accesos, nómina y procedimiento de baja.</t>
  </si>
  <si>
    <t>Talento Humano / Administración / TI / Privacidad</t>
  </si>
  <si>
    <t>Revisar ciclo de vida laboral: selección, expedientes, nómina, accesos, confidencialidad, bajas y conservación.</t>
  </si>
  <si>
    <t>Inventario de encargados y terceros críticos</t>
  </si>
  <si>
    <t>¿Existe inventario actualizado de proveedores que acceden o tratan datos personales por cuenta de la empresa?</t>
  </si>
  <si>
    <t>Incluye, según aplique, POS/ERP, e-commerce, nube, pasarelas de pago, CRM/marketing, fidelización, logística/couriers, call center, RR. HH., soporte TI, CCTV/seguridad, archivo y consultores.</t>
  </si>
  <si>
    <t>¿Se evalúa privacidad y seguridad antes de contratar proveedores críticos de la empresa?</t>
  </si>
  <si>
    <t>La evaluación considera datos tratados, acceso, ubicación, seguridad, subencargados, confidencialidad, continuidad, incidentes y salida/devolución.</t>
  </si>
  <si>
    <t>Matriz de accesos por rol en POS, ERP, CRM y sistemas críticos</t>
  </si>
  <si>
    <t>¿Existe una matriz de accesos por rol para POS, ERP, CRM, e-commerce, contabilidad, RR. HH., archivos y otros sistemas críticos?</t>
  </si>
  <si>
    <t>Los perfiles están documentados, aprobados y revisados periódicamente, conforme a funciones de tiendas/cajas, ventas, servicio al cliente, bodega, logística, administración y TI.</t>
  </si>
  <si>
    <t>Matriz de accesos, listado de usuarios, perfiles/roles, revisiones periódicas, aprobaciones y bajas.</t>
  </si>
  <si>
    <t>TI / Privacidad / Dueños de proceso</t>
  </si>
  <si>
    <t>Base normativa y técnica de referencia para empresas del sector comercio</t>
  </si>
  <si>
    <t>Referencia</t>
  </si>
  <si>
    <t>Uso en el assessment</t>
  </si>
  <si>
    <t>Naturaleza</t>
  </si>
  <si>
    <t>Dimensiones vinculadas</t>
  </si>
  <si>
    <t>Nota para el consultor</t>
  </si>
  <si>
    <t>Constitución de la República del Ecuador</t>
  </si>
  <si>
    <t>Derecho a la protección de datos personales, acceso y decisión sobre información personal.</t>
  </si>
  <si>
    <t>Base constitucional</t>
  </si>
  <si>
    <t>Todas</t>
  </si>
  <si>
    <t>Usar como fundamento general de derechos.</t>
  </si>
  <si>
    <t>Ley Orgánica de Protección de Datos Personales</t>
  </si>
  <si>
    <t>Principios, derechos, obligaciones del responsable/encargado, seguridad, RAT, DPD, incidentes y régimen aplicable.</t>
  </si>
  <si>
    <t>Obligación legal</t>
  </si>
  <si>
    <t>Validar siempre con versión oficial vigente.</t>
  </si>
  <si>
    <t>Reglamento General a la LOPDP</t>
  </si>
  <si>
    <t>Desarrollo de medidas, derechos, seguridad, evaluación de impacto, privacidad desde el diseño, roles y evidencias.</t>
  </si>
  <si>
    <t>Obligación reglamentaria</t>
  </si>
  <si>
    <t>Gobierno, derechos, seguridad, riesgos</t>
  </si>
  <si>
    <t>Aplicar con enfoque proporcional al tamaño, canales, volumen y riesgo de la empresa.</t>
  </si>
  <si>
    <t>Normativa secundaria y guías de la SPDP</t>
  </si>
  <si>
    <t>Criterios sobre riesgos, EIPD, privacidad desde el diseño, DPD, contratos, transferencias e interés legítimo cuando aplique.</t>
  </si>
  <si>
    <t>Normativa / guía oficial</t>
  </si>
  <si>
    <t>Riesgos, DPD, proveedores, contratos</t>
  </si>
  <si>
    <t>Diferenciar obligación jurídica, normativa secundaria, guía y buena práctica.</t>
  </si>
  <si>
    <t>Ley Orgánica de Defensa del Consumidor</t>
  </si>
  <si>
    <t>Contexto de relación con clientes, información, atención, reclamos, garantías y prácticas comerciales cuando corresponda.</t>
  </si>
  <si>
    <t>Normativa relacionada / cuando aplique</t>
  </si>
  <si>
    <t>Transparencia, atención, procesos comerciales</t>
  </si>
  <si>
    <t>No sustituye el análisis específico de protección de datos; validar aplicabilidad al negocio.</t>
  </si>
  <si>
    <t>Ley de Comercio Electrónico, Firmas Electrónicas y Mensajes de Datos</t>
  </si>
  <si>
    <t>Contexto para contratación, mensajes de datos, transacciones y canales electrónicos cuando corresponda.</t>
  </si>
  <si>
    <t>Canales digitales, e-commerce, evidencias</t>
  </si>
  <si>
    <t>Validar especialmente en ventas y contratación por medios electrónicos.</t>
  </si>
  <si>
    <t>Normativa tributaria, societaria, laboral y de conservación aplicable</t>
  </si>
  <si>
    <t>Puede justificar determinados datos, documentos y plazos de conservación en facturación, contabilidad, contratos y RR. HH.</t>
  </si>
  <si>
    <t>Obligación sectorial/transversal según actividad</t>
  </si>
  <si>
    <t>Conservación, RR. HH., procesos comerciales</t>
  </si>
  <si>
    <t>No fijar plazos genéricos: documentar fundamento específico por categoría documental.</t>
  </si>
  <si>
    <t>Buenas prácticas de seguridad de la información</t>
  </si>
  <si>
    <t>Accesos, MFA, endpoints, respaldos, registros, cifrado, nube, proveedores, vulnerabilidades e incidentes.</t>
  </si>
  <si>
    <t>Buena práctica técnica</t>
  </si>
  <si>
    <t>Seguridad, incidentes, proveedores</t>
  </si>
  <si>
    <t>Usar de forma proporcional; no presentar como certificación si no existe.</t>
  </si>
  <si>
    <t>Modelo de madurez SMARTCIDI</t>
  </si>
  <si>
    <t>Evalúa madurez 1-5 combinando nivel asignado, evidencia, criticidad, bloqueantes y plan de acción.</t>
  </si>
  <si>
    <t>Metodología consultiva</t>
  </si>
  <si>
    <t>Sirve para diagnóstico, priorización y hoja de ruta; no equivale a certificación legal.</t>
  </si>
  <si>
    <t>Guía de Aplicación del Assessment SGPDP para Empresas del Sector Comercio</t>
  </si>
  <si>
    <t>Objetivo</t>
  </si>
  <si>
    <t>Medir el nivel de madurez del Sistema de Gestión de Protección de Datos Personales de una empresa comercial ecuatoriana, considerando LOPDP, riesgos, evidencia y operación real en canales físicos y digitales.</t>
  </si>
  <si>
    <t>Cómo aplicar</t>
  </si>
  <si>
    <t>1) Completar 'Perfil Comercio'. 2) Confirmar alcance: matriz, tiendas/sucursales, POS, ERP, CRM, e-commerce, pagos, logística, proveedores y canales. 3) Entrevistar áreas. 4) Solicitar evidencias. 5) Completar Aplica, Nivel asignado y Nivel evidencia. 6) Revisar Dashboard y Plan de Acción.</t>
  </si>
  <si>
    <t>Ejemplo comercio</t>
  </si>
  <si>
    <t>Marcar No solo si el control realmente no corresponde al modelo de negocio. No usar No para ocultar una brecha. En caso de duda, mantener Sí hasta validar.</t>
  </si>
  <si>
    <t>E-commerce puede ser No en un comercio exclusivamente físico; transferencia internacional solo después de validar nube, SaaS y proveedores.</t>
  </si>
  <si>
    <t>5 para controles estructurales o de alto riesgo: RAT, derechos, incidentes, seguridad, POS/pagos, e-commerce, proveedores críticos. Ajustar según contexto.</t>
  </si>
  <si>
    <t>Pagos/POS o e-commerce = 5 cuando aplican; capacitación general = 3.</t>
  </si>
  <si>
    <t>Existe procedimiento de derechos, pero no hay registros de aplicación: nivel 3 como máximo.</t>
  </si>
  <si>
    <t>Política aprobada = 2; solicitudes atendidas con registro = 3; indicadores revisados por dirección/DPD = 4.</t>
  </si>
  <si>
    <t>Control crítico de pago/POS con nivel efectivo 3 suma 3 puntos de 5 posibles.</t>
  </si>
  <si>
    <t>Marcar Sí en controles esenciales: RAT, derechos, incidentes, seguridad, gobierno y procesos comerciales críticos.</t>
  </si>
  <si>
    <t>No tener RAT, procedimiento de derechos, incidentes o controles críticos de seguridad no debe permitir declarar madurez alta.</t>
  </si>
  <si>
    <t>Reglas prácticas para el consultor</t>
  </si>
  <si>
    <t>1) Si el control debería existir y no existe: Aplica=Sí, Nivel=1, Evidencia=0. 2) Si solo hay documento sin uso: nivel máximo sugerido=3. 3) Si hay registros de aplicación: nivel 4. 4) Si hay indicadores y mejora continua: nivel 5. 5) Si no se sabe si aplica, no marcar No hasta validar. 6) En comercios omnicanal revisar coherencia entre tienda física, web/e-commerce, CRM, POS, pagos y logística.</t>
  </si>
  <si>
    <t>Entregables esperados</t>
  </si>
  <si>
    <t>Perfil de contexto validado, Dashboard ejecutivo, madurez por dimensión, brechas críticas/altas, bloqueantes, plan de acción 30/60/90/180 días y evidencias requeridas.</t>
  </si>
  <si>
    <t>Procesos comerciales sugeridos para revisar durante el assessment</t>
  </si>
  <si>
    <t>Proceso</t>
  </si>
  <si>
    <t>Datos personales típicos</t>
  </si>
  <si>
    <t>Titulares</t>
  </si>
  <si>
    <t>Riesgos frecuentes</t>
  </si>
  <si>
    <t>Evidencia a solicitar</t>
  </si>
  <si>
    <t>Identificación, contacto, preferencias, cuenta de cliente, historial básico, origen del lead.</t>
  </si>
  <si>
    <t>Prospectos / clientes</t>
  </si>
  <si>
    <t>Recolección excesiva, origen no trazable, falta de aviso, datos desactualizados.</t>
  </si>
  <si>
    <t>Formularios, CRM, ficha de cliente, avisos, matrices de datos y bases de legitimación.</t>
  </si>
  <si>
    <t>Identificación cuando corresponde, factura, datos de contacto, compra, comprobantes, vendedor/caja.</t>
  </si>
  <si>
    <t>Clientes</t>
  </si>
  <si>
    <t>Exposición en caja, permisos excesivos, impresión innecesaria, exportaciones sin control.</t>
  </si>
  <si>
    <t>Configuración POS, facturas, perfiles de caja, logs, procedimiento de venta.</t>
  </si>
  <si>
    <t>E-commerce y cuentas de usuario</t>
  </si>
  <si>
    <t>Registro, correo/teléfono, credenciales, carrito, pedidos, historial, direcciones, cookies cuando apliquen.</t>
  </si>
  <si>
    <t>Usuarios / clientes</t>
  </si>
  <si>
    <t>Campos excesivos, cuentas comprometidas, cookies/trackers sin revisión, integraciones no controladas.</t>
  </si>
  <si>
    <t>Flujo de registro/checkout, aviso, cookies, logs, integraciones, contrato de plataforma.</t>
  </si>
  <si>
    <t>Datos de transacción, referencia de pago, medio de pago, señales antifraude; datos de tarjeta solo según arquitectura.</t>
  </si>
  <si>
    <t>Almacenamiento innecesario, terceros no evaluados, exposición en logs, fraude o accesos indebidos.</t>
  </si>
  <si>
    <t>Contratos con pasarelas/adquirentes, flujo de pago, configuración, logs, controles antifraude.</t>
  </si>
  <si>
    <t>CRM, fidelización y marketing</t>
  </si>
  <si>
    <t>Contacto, historial/segmentos, preferencias, campañas, puntos/beneficios, respuestas.</t>
  </si>
  <si>
    <t>Listas sin base, perfilamiento opaco, falta de oposición/baja, reutilización incompatible.</t>
  </si>
  <si>
    <t>CRM, formularios de fidelización, campañas, preferencias, bajas, consentimientos cuando apliquen.</t>
  </si>
  <si>
    <t>Identificación, pedido/factura, motivo, contacto, evidencias, tickets y comunicaciones.</t>
  </si>
  <si>
    <t>Clientes / usuarios</t>
  </si>
  <si>
    <t>Pedir más datos de los necesarios, revelar historial, mala verificación de identidad.</t>
  </si>
  <si>
    <t>Tickets, formularios, guiones, procedimiento, registros de verificación y respuestas.</t>
  </si>
  <si>
    <t>Nombre, teléfono, dirección, pedido, instrucciones de entrega, evidencia de recepción.</t>
  </si>
  <si>
    <t>Clientes / destinatarios</t>
  </si>
  <si>
    <t>Etiquetas visibles, acceso excesivo, couriers sin control, conservación indefinida.</t>
  </si>
  <si>
    <t>Órdenes de despacho, etiquetas, contratos con couriers, perfiles y comprobantes de entrega.</t>
  </si>
  <si>
    <t>Talento humano</t>
  </si>
  <si>
    <t>Expedientes laborales, selección, nómina, afiliaciones, salud ocupacional cuando aplique, accesos.</t>
  </si>
  <si>
    <t>Colaboradores / postulantes</t>
  </si>
  <si>
    <t>Acceso excesivo, conservación indefinida, bajas tardías, datos sensibles sin controles.</t>
  </si>
  <si>
    <t>Expedientes, avisos laborales, confidencialidad, bajas de usuarios, matriz de accesos.</t>
  </si>
  <si>
    <t>Proveedores y encargados</t>
  </si>
  <si>
    <t>Datos corporativos y personales; acceso de terceros a CRM, POS, ERP, nube, logística, marketing, soporte.</t>
  </si>
  <si>
    <t>Clientes / colaboradores / proveedores</t>
  </si>
  <si>
    <t>Contratos sin cláusulas, soporte sin trazabilidad, subencargados y transferencias no identificadas.</t>
  </si>
  <si>
    <t>Inventario de proveedores, contratos/DPA, due diligence, SLA y evidencias de seguridad.</t>
  </si>
  <si>
    <t>Archivo físico/digital y conservación</t>
  </si>
  <si>
    <t>Facturas, contratos, expedientes, reclamos, RR. HH., pedidos, reportes y respaldos.</t>
  </si>
  <si>
    <t>Todos los titulares</t>
  </si>
  <si>
    <t>Acumulación, eliminación insegura, permisos excesivos, duplicados y copias locales.</t>
  </si>
  <si>
    <t>Tabla de conservación, inventario, políticas de archivo, permisos, actas/certificados de eliminación.</t>
  </si>
  <si>
    <t>Incidentes y continuidad</t>
  </si>
  <si>
    <t>Datos afectados por pérdida, acceso indebido, malware, cuenta comprometida, envío erróneo o indisponibilidad.</t>
  </si>
  <si>
    <t>Falta de detección, registro, contención, evaluación de impacto o escalamiento.</t>
  </si>
  <si>
    <t>Procedimiento, registro de incidentes, simulacros, tickets, lecciones aprendidas y planes de mejora.</t>
  </si>
  <si>
    <t>Perfil de contexto y alcance - Empresa del Sector Comercio</t>
  </si>
  <si>
    <t>Completar antes del assessment. Estas variables ayudan a decidir aplicabilidad, criticidad, entrevistas y evidencias; para estimar esfuerzo, duración y presupuesto utilizar la hoja 'Dimensionamiento Servicios'.</t>
  </si>
  <si>
    <t>Variable</t>
  </si>
  <si>
    <t>Qué validar</t>
  </si>
  <si>
    <t>Respuesta / dato</t>
  </si>
  <si>
    <t>Riesgo o impacto en el assessment</t>
  </si>
  <si>
    <t>Evidencia sugerida</t>
  </si>
  <si>
    <t>Tipo de comercio</t>
  </si>
  <si>
    <t>Retail, mayorista, distribuidor, e-commerce, marketplace, franquicia u omnicanal.</t>
  </si>
  <si>
    <t>Define procesos y canales a evaluar.</t>
  </si>
  <si>
    <t>RUC/objeto, organigrama, descripción operativa.</t>
  </si>
  <si>
    <t>Por validar</t>
  </si>
  <si>
    <t>Número de tiendas / sucursales</t>
  </si>
  <si>
    <t>Locales, bodegas, centros de distribución y oficinas.</t>
  </si>
  <si>
    <t>Aumenta dispersión de accesos, CCTV, archivos y usuarios.</t>
  </si>
  <si>
    <t>Listado de ubicaciones.</t>
  </si>
  <si>
    <t>Número de empleados / usuarios con acceso</t>
  </si>
  <si>
    <t>Personal propio, temporal y terceros con cuentas.</t>
  </si>
  <si>
    <t>Dimensiona gestión de identidades, capacitación y bajas.</t>
  </si>
  <si>
    <t>Nómina y listado de usuarios.</t>
  </si>
  <si>
    <t>Volumen aproximado de clientes activos</t>
  </si>
  <si>
    <t>Clientes identificados y cuentas registradas.</t>
  </si>
  <si>
    <t>Influye en escala, riesgo y esfuerzo de derechos/incidentes.</t>
  </si>
  <si>
    <t>CRM/ERP/POS, reportes.</t>
  </si>
  <si>
    <t>Volumen histórico de registros</t>
  </si>
  <si>
    <t>Clientes, prospectos, pedidos y facturas conservados.</t>
  </si>
  <si>
    <t>Afecta conservación, eliminación, riesgo de exposición y migraciones.</t>
  </si>
  <si>
    <t>Reportes de bases/repositorios.</t>
  </si>
  <si>
    <t>POS / sistema de cajas</t>
  </si>
  <si>
    <t>Proveedor, arquitectura, usuarios, datos capturados, integración con ERP/CRM.</t>
  </si>
  <si>
    <t>Proceso crítico en comercio presencial.</t>
  </si>
  <si>
    <t>Contrato, matriz de accesos, configuración.</t>
  </si>
  <si>
    <t>ERP / facturación / inventario</t>
  </si>
  <si>
    <t>Sistemas, módulos y datos personales incluidos.</t>
  </si>
  <si>
    <t>Puede centralizar datos de clientes, personal y proveedores.</t>
  </si>
  <si>
    <t>Inventario de sistemas y contratos.</t>
  </si>
  <si>
    <t>CRM</t>
  </si>
  <si>
    <t>Plataforma, finalidades, usuarios, integraciones, marketing y exportaciones.</t>
  </si>
  <si>
    <t>Alto impacto en prospección, campañas y fidelización.</t>
  </si>
  <si>
    <t>DPA/contrato, perfiles, flujos.</t>
  </si>
  <si>
    <t>E-commerce / app</t>
  </si>
  <si>
    <t>Plataforma, cuentas, checkout, pedidos, cookies e integraciones.</t>
  </si>
  <si>
    <t>Activa controles específicos de canales digitales.</t>
  </si>
  <si>
    <t>URL, contrato, configuración, mapa de integraciones.</t>
  </si>
  <si>
    <t>Pasarelas / medios de pago</t>
  </si>
  <si>
    <t>Proveedores, datos visibles/almacenados, tokenización y antifraude.</t>
  </si>
  <si>
    <t>Flujo de alto riesgo; delimitar responsabilidades y almacenamiento.</t>
  </si>
  <si>
    <t>Contratos, diagrama de pago, configuración.</t>
  </si>
  <si>
    <t>Programa de fidelización</t>
  </si>
  <si>
    <t>Puntos, perfil de cliente, preferencias, segmentos y beneficios.</t>
  </si>
  <si>
    <t>Puede aumentar perfilamiento y reutilización de datos.</t>
  </si>
  <si>
    <t>Términos, formulario, CRM, reglas del programa.</t>
  </si>
  <si>
    <t>Marketing y automatización</t>
  </si>
  <si>
    <t>Email/SMS/WhatsApp, audiencias, pixels, listas, plataformas y fuentes.</t>
  </si>
  <si>
    <t>Requiere trazabilidad de origen, oposición y bases.</t>
  </si>
  <si>
    <t>Plataformas, campañas, formularios, consentimientos.</t>
  </si>
  <si>
    <t>WhatsApp / mensajería</t>
  </si>
  <si>
    <t>Números, equipos, cuentas Business/API, personal con acceso.</t>
  </si>
  <si>
    <t>Riesgo de copias locales, exposición y uso informal.</t>
  </si>
  <si>
    <t>Configuración, guías, teléfonos autorizados.</t>
  </si>
  <si>
    <t>Logística / delivery / couriers</t>
  </si>
  <si>
    <t>Datos compartidos, etiquetas, tracking, pruebas de entrega.</t>
  </si>
  <si>
    <t>Implica terceros y direcciones/datos de contacto.</t>
  </si>
  <si>
    <t>Contratos, órdenes, etiquetas, accesos.</t>
  </si>
  <si>
    <t>Call center / servicio tercerizado</t>
  </si>
  <si>
    <t>Proveedor, accesos, grabaciones y scripts.</t>
  </si>
  <si>
    <t>Implica encargado, potencial grabación y transferencias.</t>
  </si>
  <si>
    <t>Contrato/DPA, scripts, grabaciones, accesos.</t>
  </si>
  <si>
    <t>Videovigilancia CCTV</t>
  </si>
  <si>
    <t>Ubicaciones, finalidad, cámaras, retención, accesos y terceros.</t>
  </si>
  <si>
    <t>Tratamiento intensivo en tiendas/bodegas; requiere información visible y control.</t>
  </si>
  <si>
    <t>Mapa de cámaras, avisos, política, retención.</t>
  </si>
  <si>
    <t>Biometría</t>
  </si>
  <si>
    <t>Control de asistencia, acceso físico o identificación de clientes.</t>
  </si>
  <si>
    <t>Puede implicar datos sensibles y alto riesgo.</t>
  </si>
  <si>
    <t>Sistema, finalidad, proveedor, EIPD/riesgo.</t>
  </si>
  <si>
    <t>Datos de niñas, niños o adolescentes</t>
  </si>
  <si>
    <t>Clientes, beneficiarios, programas, e-commerce o marketing dirigido.</t>
  </si>
  <si>
    <t>Activa protección reforzada y posible obligación de DPD según normativa aplicable.</t>
  </si>
  <si>
    <t>RAT, formularios, reglas de edad.</t>
  </si>
  <si>
    <t>Datos de salud u otros datos sensibles</t>
  </si>
  <si>
    <t>Farmacias, ópticas, bienestar u otros giros que puedan tratar datos sensibles.</t>
  </si>
  <si>
    <t>Eleva criticidad y puede activar EIPD/medidas reforzadas.</t>
  </si>
  <si>
    <t>RAT, sistemas, formularios, contratos.</t>
  </si>
  <si>
    <t>Geolocalización</t>
  </si>
  <si>
    <t>App, delivery, tracking, flota o servicios basados en ubicación.</t>
  </si>
  <si>
    <t>Puede elevar impacto y requerir información/minimización reforzada.</t>
  </si>
  <si>
    <t>Configuración, app, flujos, proveedores.</t>
  </si>
  <si>
    <t>Perfilamiento / scoring comercial</t>
  </si>
  <si>
    <t>Segmentación, recomendación, antifraude, propensión, precios o decisiones automatizadas.</t>
  </si>
  <si>
    <t>Revisar transparencia, lógica, impacto, derechos y EIPD cuando corresponda.</t>
  </si>
  <si>
    <t>Modelos/reglas, documentación, avisos.</t>
  </si>
  <si>
    <t>Servicios cloud fuera del Ecuador</t>
  </si>
  <si>
    <t>Ubicación, subprocesadores, soporte y accesos internacionales.</t>
  </si>
  <si>
    <t>Puede activar análisis de transferencias/comunicaciones internacionales.</t>
  </si>
  <si>
    <t>DPA, subprocesadores, regiones de hosting.</t>
  </si>
  <si>
    <t>Proveedores con acceso a datos</t>
  </si>
  <si>
    <t>Marketing, TI, logística, RR. HH., soporte, archivo, seguridad, call center.</t>
  </si>
  <si>
    <t>Determina inventario de encargados, contratos y due diligence.</t>
  </si>
  <si>
    <t>Matriz de proveedores y contratos.</t>
  </si>
  <si>
    <t>Archivo físico</t>
  </si>
  <si>
    <t>Facturas, expedientes, contratos, formularios y reclamos.</t>
  </si>
  <si>
    <t>Riesgo de acceso físico, copias y conservación indefinida.</t>
  </si>
  <si>
    <t>Inventario, bodegas, permisos, destrucción.</t>
  </si>
  <si>
    <t>Incidentes previos</t>
  </si>
  <si>
    <t>Pérdida, phishing, cuentas comprometidas, envíos erróneos, malware o fuga.</t>
  </si>
  <si>
    <t>Ajusta riesgo y priorización del plan de acción.</t>
  </si>
  <si>
    <t>Registro de incidentes/tickets.</t>
  </si>
  <si>
    <t>HOJA HISTÓRICA – NO UTILIZAR PARA NUEVAS COTIZACIONES. Use la hoja “Dimensionamiento Servicios” (modelo v1.3).</t>
  </si>
  <si>
    <t>Herramienta interna SMARTCIDI para estimar el alcance de una consultoría LOPDP en empresas del sector comercio. Complete los campos amarillos; ingrese 0 cuando una categoría numérica haya sido validada y no aplique. El resultado es una estimación comercial basada en escala, complejidad, riesgo, tecnología y madurez; no es una exigencia legal ni sustituye el diagnóstico.</t>
  </si>
  <si>
    <t>Cobertura de información</t>
  </si>
  <si>
    <t>Índice de complejidad</t>
  </si>
  <si>
    <t>Esfuerzo central</t>
  </si>
  <si>
    <t>Duración estimada</t>
  </si>
  <si>
    <t>Presupuesto objetivo*</t>
  </si>
  <si>
    <t>Presupuesto mínimo*</t>
  </si>
  <si>
    <t>Presupuesto máximo*</t>
  </si>
  <si>
    <t>Equipo sugerido</t>
  </si>
  <si>
    <t>Alcance sugerido</t>
  </si>
  <si>
    <t>Parámetros comerciales SMARTCIDI (editables)</t>
  </si>
  <si>
    <t>Tarifa interna referencial (sin impuestos)</t>
  </si>
  <si>
    <t>USD por hora. Ingresar la tarifa comercial interna de SMARTCIDI antes de impuestos.</t>
  </si>
  <si>
    <t>USD/h</t>
  </si>
  <si>
    <t>Si se deja en 0, el presupuesto no se calcula.</t>
  </si>
  <si>
    <t>Capacidad asignada al proyecto</t>
  </si>
  <si>
    <t>Horas efectivas por semana que el equipo puede dedicar a esta consultoría.</t>
  </si>
  <si>
    <t>h/semana</t>
  </si>
  <si>
    <t>Afecta la duración, no el esfuerzo total.</t>
  </si>
  <si>
    <t>Contingencia del proyecto</t>
  </si>
  <si>
    <t>Reserva por coordinación, retrabajo, validaciones y hallazgos no previstos.</t>
  </si>
  <si>
    <t>%</t>
  </si>
  <si>
    <t>Parámetro comercial interno.</t>
  </si>
  <si>
    <t>Factor comercial</t>
  </si>
  <si>
    <t>Ajuste por posicionamiento, complejidad contractual o estrategia comercial.</t>
  </si>
  <si>
    <t>factor</t>
  </si>
  <si>
    <t>1,00 = sin ajuste.</t>
  </si>
  <si>
    <t>Horas base</t>
  </si>
  <si>
    <t>Esfuerzo mínimo para movilización, levantamiento, análisis y cierre.</t>
  </si>
  <si>
    <t>horas</t>
  </si>
  <si>
    <t>Base del modelo.</t>
  </si>
  <si>
    <t>Horas por punto de complejidad</t>
  </si>
  <si>
    <t>Pendiente que convierte el índice 0-100 en horas adicionales.</t>
  </si>
  <si>
    <t>h/punto</t>
  </si>
  <si>
    <t>Editable con experiencia histórica SMARTCIDI.</t>
  </si>
  <si>
    <t>Margen del rango presupuestario</t>
  </si>
  <si>
    <t>Rango inferior/superior respecto del presupuesto objetivo.</t>
  </si>
  <si>
    <t>Permite presentar una banda de negociación.</t>
  </si>
  <si>
    <t>A. Escala, volumen y estructura operativa</t>
  </si>
  <si>
    <t>Qué debe informar la empresa</t>
  </si>
  <si>
    <t>Unidad / opciones</t>
  </si>
  <si>
    <t>Peso interno</t>
  </si>
  <si>
    <t>Aporte</t>
  </si>
  <si>
    <t>Impacto en el alcance</t>
  </si>
  <si>
    <t>Número de empleados</t>
  </si>
  <si>
    <t>Personal propio y terceros recurrentes que participan en la operación.</t>
  </si>
  <si>
    <t>personas</t>
  </si>
  <si>
    <t>Dimensiona usuarios, capacitación, accesos y número de entrevistas.</t>
  </si>
  <si>
    <t>Número de sucursales / locales</t>
  </si>
  <si>
    <t>Tiendas, oficinas, bodegas y centros de distribución con operación propia.</t>
  </si>
  <si>
    <t>ubicaciones</t>
  </si>
  <si>
    <t>Aumenta dispersión de archivos, CCTV, usuarios y variaciones de proceso.</t>
  </si>
  <si>
    <t>Número de áreas con tratamiento</t>
  </si>
  <si>
    <t>Áreas o unidades que recolectan, usan, consultan o conservan datos personales.</t>
  </si>
  <si>
    <t>áreas</t>
  </si>
  <si>
    <t>Determina entrevistas, responsables y cobertura del levantamiento.</t>
  </si>
  <si>
    <t>Número de procesos con datos personales</t>
  </si>
  <si>
    <t>Procesos identificados que involucran datos personales.</t>
  </si>
  <si>
    <t>procesos</t>
  </si>
  <si>
    <t>Variable directa del esfuerzo para inventario, RAT y evidencias.</t>
  </si>
  <si>
    <t>Documentación de procesos</t>
  </si>
  <si>
    <t>Nivel en que los procesos están levantados, documentados y actualizados.</t>
  </si>
  <si>
    <t>seleccionar</t>
  </si>
  <si>
    <t>Si no existen procesos documentados, aumenta el esfuerzo de descubrimiento antes del análisis LOPDP.</t>
  </si>
  <si>
    <t>Clientes activos</t>
  </si>
  <si>
    <t>Clientes identificados o cuentas activas.</t>
  </si>
  <si>
    <t>titulares</t>
  </si>
  <si>
    <t>Parte del volumen total de titulares.</t>
  </si>
  <si>
    <t>Clientes históricos</t>
  </si>
  <si>
    <t>Registros históricos conservados de clientes, pedidos o facturación.</t>
  </si>
  <si>
    <t>Afecta conservación, archivo y volumen de datos.</t>
  </si>
  <si>
    <t>Prospectos / leads</t>
  </si>
  <si>
    <t>Contactos de campañas, formularios, CRM, redes sociales u otros canales.</t>
  </si>
  <si>
    <t>Aumenta complejidad de marketing, trazabilidad y oposición.</t>
  </si>
  <si>
    <t>Empleados / extrabajadores</t>
  </si>
  <si>
    <t>Personal actual e histórico con expedientes conservados.</t>
  </si>
  <si>
    <t>Incluye tratamiento laboral y conservación documental.</t>
  </si>
  <si>
    <t>Proveedores / contactos</t>
  </si>
  <si>
    <t>Personas naturales y contactos identificables de proveedores.</t>
  </si>
  <si>
    <t>Incluye gestión contractual y terceros.</t>
  </si>
  <si>
    <t>Otros titulares</t>
  </si>
  <si>
    <t>Visitantes, usuarios web, destinatarios, candidatos u otros no incluidos arriba.</t>
  </si>
  <si>
    <t>Completa la estimación de escala.</t>
  </si>
  <si>
    <t>Total estimado de titulares</t>
  </si>
  <si>
    <t>Suma de categorías declaradas. Puede contener duplicados; se usa solo para dimensionamiento.</t>
  </si>
  <si>
    <t>Proxy de volumen, no equivale a titulares únicos.</t>
  </si>
  <si>
    <t>B. Sensibilidad, riesgo y tratamientos de mayor impacto</t>
  </si>
  <si>
    <t>Datos sensibles</t>
  </si>
  <si>
    <t>¿Trata datos de salud, biométricos, origen étnico, creencias, vida sexual u otras categorías sensibles según la LOPDP?</t>
  </si>
  <si>
    <t>Sí / No / No sabe</t>
  </si>
  <si>
    <t>Eleva el análisis de riesgo, medidas de seguridad y posible EIPD según contexto.</t>
  </si>
  <si>
    <t>Niñas, niños o adolescentes</t>
  </si>
  <si>
    <t>¿Trata datos personales de personas menores de edad?</t>
  </si>
  <si>
    <t>Implica protección reforzada y puede activar obligaciones adicionales.</t>
  </si>
  <si>
    <t>¿Usa huella, rostro u otros patrones biométricos para identificación o control?</t>
  </si>
  <si>
    <t>Tratamiento de alto impacto que requiere revisión específica.</t>
  </si>
  <si>
    <t>CCTV / videovigilancia</t>
  </si>
  <si>
    <t>¿Opera cámaras en tiendas, bodegas, oficinas o zonas de atención?</t>
  </si>
  <si>
    <t>Añade finalidades, avisos, retención, accesos y terceros de seguridad.</t>
  </si>
  <si>
    <t>¿Usa ubicación de clientes, repartidores, flota o app?</t>
  </si>
  <si>
    <t>Puede incrementar el impacto sobre privacidad y requerir minimización reforzada.</t>
  </si>
  <si>
    <t>Perfilamiento / scoring</t>
  </si>
  <si>
    <t>¿Segmenta, recomienda, califica riesgo/fraude o construye perfiles comerciales?</t>
  </si>
  <si>
    <t>Requiere revisar transparencia, bases, oposición y decisiones automatizadas cuando apliquen.</t>
  </si>
  <si>
    <t>Incidentes últimos 24 meses</t>
  </si>
  <si>
    <t>¿Ha existido pérdida, phishing, cuenta comprometida, envío erróneo, malware o fuga de información?</t>
  </si>
  <si>
    <t>Puede añadir remediación y revisión técnica/organizativa.</t>
  </si>
  <si>
    <t>Datos financieros / patrimoniales</t>
  </si>
  <si>
    <t>¿Trata información financiera o patrimonial más allá de datos mínimos de facturación/pago?</t>
  </si>
  <si>
    <t>Aumenta impacto potencial y controles de acceso.</t>
  </si>
  <si>
    <t>Detalle de datos sensibles / procesos</t>
  </si>
  <si>
    <t>Si respondió Sí en datos sensibles, indique qué categorías se tratan y en qué procesos o sistemas.</t>
  </si>
  <si>
    <t>texto libre</t>
  </si>
  <si>
    <t>Permite dimensionar entrevistas, análisis de riesgo, seguridad y posibles EIPD.</t>
  </si>
  <si>
    <t>C. Tecnología, canales y terceros</t>
  </si>
  <si>
    <t>Número de sistemas / plataformas</t>
  </si>
  <si>
    <t>ERP, POS, CRM, e-commerce, nómina, nube, marketing, CCTV, biometría y otros.</t>
  </si>
  <si>
    <t>sistemas</t>
  </si>
  <si>
    <t>Cada plataforma puede requerir accesos, proveedor, contrato, seguridad, conservación y transferencia.</t>
  </si>
  <si>
    <t>TI, cloud, marketing, logística, RR. HH., soporte, archivo, call center, seguridad y otros.</t>
  </si>
  <si>
    <t>proveedores</t>
  </si>
  <si>
    <t>Aumenta revisión contractual, encargos, due diligence y transferencias.</t>
  </si>
  <si>
    <t>Canales de recolección</t>
  </si>
  <si>
    <t>Local físico, web, e-commerce, WhatsApp, redes, call center, app, formularios y otros.</t>
  </si>
  <si>
    <t>canales</t>
  </si>
  <si>
    <t>Más canales implican más puntos de información, captura, trazabilidad y riesgo.</t>
  </si>
  <si>
    <t>Cloud / proveedores fuera de Ecuador</t>
  </si>
  <si>
    <t>¿Usa proveedores tecnológicos o soporte cuya infraestructura o entidad está fuera de Ecuador?</t>
  </si>
  <si>
    <t>Puede requerir análisis de transferencias/comunicaciones internacionales.</t>
  </si>
  <si>
    <t>Gestión de datos por sucursales</t>
  </si>
  <si>
    <t>¿La gestión de datos y archivos está centralizada o cada local opera con autonomía?</t>
  </si>
  <si>
    <t>La descentralización aumenta variaciones, accesos, archivos y entrevistas.</t>
  </si>
  <si>
    <t>¿Mantiene formularios, facturas, expedientes, contratos o archivos con datos personales en papel?</t>
  </si>
  <si>
    <t>Añade controles físicos, conservación y eliminación.</t>
  </si>
  <si>
    <t>D. Madurez y documentación existente</t>
  </si>
  <si>
    <t>¿Existe y está actualizado un RAT o inventario equivalente de tratamientos?</t>
  </si>
  <si>
    <t>Sí / Parcial / No / No sabe</t>
  </si>
  <si>
    <t>Si no existe, aumenta el esfuerzo de levantamiento y documentación.</t>
  </si>
  <si>
    <t>Política / avisos de privacidad</t>
  </si>
  <si>
    <t>¿Existen políticas y avisos adaptados a los principales titulares y canales?</t>
  </si>
  <si>
    <t>Determina trabajo de creación o revisión documental.</t>
  </si>
  <si>
    <t>Procedimiento de derechos</t>
  </si>
  <si>
    <t>¿Existe un procedimiento documentado para atender derechos de titulares?</t>
  </si>
  <si>
    <t>Afecta documentación, roles, plazos y evidencias.</t>
  </si>
  <si>
    <t>Procedimiento de incidentes</t>
  </si>
  <si>
    <t>¿Existe un procedimiento para detectar, escalar, evaluar y documentar vulneraciones?</t>
  </si>
  <si>
    <t>Aumenta trabajo de diseño y coordinación con seguridad/TI si no existe.</t>
  </si>
  <si>
    <t>Contratos con encargados / cláusulas</t>
  </si>
  <si>
    <t>¿Los principales proveedores con acceso a datos tienen cláusulas o acuerdos adecuados?</t>
  </si>
  <si>
    <t>Puede implicar revisión de múltiples contratos y proveedores.</t>
  </si>
  <si>
    <t>Conservación y eliminación</t>
  </si>
  <si>
    <t>¿Existen reglas documentadas de retención, archivo, bloqueo o eliminación?</t>
  </si>
  <si>
    <t>Si no existe, se debe levantar obligaciones y diseñar reglas por categorías.</t>
  </si>
  <si>
    <t>Seguridad y accesos documentados</t>
  </si>
  <si>
    <t>¿Existen políticas/procedimientos para usuarios, accesos, contraseñas, respaldo, cifrado o proveedores?</t>
  </si>
  <si>
    <t>Indica cuánto trabajo de control y evidencia será necesario.</t>
  </si>
  <si>
    <t>Resumen de complejidad del proyecto</t>
  </si>
  <si>
    <t>Score 0-100</t>
  </si>
  <si>
    <t>Peso global</t>
  </si>
  <si>
    <t>Contribución</t>
  </si>
  <si>
    <t>Interpretación y alcance sugerido</t>
  </si>
  <si>
    <t>Escala y volumen</t>
  </si>
  <si>
    <t>0–25</t>
  </si>
  <si>
    <t>Assessment + implementación base</t>
  </si>
  <si>
    <t>Organización acotada, pocos procesos/sistemas o alta documentación existente.</t>
  </si>
  <si>
    <t>Procesos y estructura</t>
  </si>
  <si>
    <t>26–50</t>
  </si>
  <si>
    <t>Proyecto estándar</t>
  </si>
  <si>
    <t>Requiere levantamiento transversal, revisión de proveedores y documentación de controles.</t>
  </si>
  <si>
    <t>Sensibilidad y riesgo</t>
  </si>
  <si>
    <t>51–75</t>
  </si>
  <si>
    <t>Proyecto ampliado</t>
  </si>
  <si>
    <t>Mayor volumen, sucursales, tratamientos de riesgo o brechas relevantes.</t>
  </si>
  <si>
    <t>Tecnología y terceros</t>
  </si>
  <si>
    <t>76–100</t>
  </si>
  <si>
    <t>Muy alta</t>
  </si>
  <si>
    <t>Proyecto complejo / por fases</t>
  </si>
  <si>
    <t>Conviene dividir diagnóstico, remediación prioritaria e implementación por oleadas.</t>
  </si>
  <si>
    <t>Brecha de madurez</t>
  </si>
  <si>
    <t>Cobertura &lt; 60%</t>
  </si>
  <si>
    <t>Información insuficiente</t>
  </si>
  <si>
    <t>No cotizar aún</t>
  </si>
  <si>
    <t>Solicitar datos adicionales antes de comprometer alcance, duración o presupuesto.</t>
  </si>
  <si>
    <t>Índice global de complejidad</t>
  </si>
  <si>
    <t>Nota</t>
  </si>
  <si>
    <t>Uso interno SMARTCIDI</t>
  </si>
  <si>
    <t>Heurística comercial</t>
  </si>
  <si>
    <t>No constituye requisito de la LOPDP ni una certificación de cumplimiento.</t>
  </si>
  <si>
    <t>* El presupuesto se calcula únicamente cuando SMARTCIDI ingresa una tarifa/hora. La estimación corresponde a diagnóstico + implementación base según el alcance resultante; no incluye IVA, software, viáticos, servicios jurídicos especializados, auditorías técnicas de terceros ni un servicio recurrente de DPD/acompañamiento posterior, salvo que se incorporen expresamente en la propuesta.</t>
  </si>
  <si>
    <t>Dimensionamiento SMARTCIDI v1.3 – Implementación LOPDP, Auditoría y DPO</t>
  </si>
  <si>
    <t>Respuesta derivada</t>
  </si>
  <si>
    <t>Peso IMP</t>
  </si>
  <si>
    <t>Aporte IMP</t>
  </si>
  <si>
    <t>Peso AUD</t>
  </si>
  <si>
    <t>Aporte AUD</t>
  </si>
  <si>
    <t>Peso DPO</t>
  </si>
  <si>
    <t>Aporte DPO</t>
  </si>
  <si>
    <t>Ficha cerrada de preventa para empresas del sector comercio. Responda rangos y marque Sí/No/No sabe por cada opción; el modelo calcula esfuerzo, duración y presupuesto.</t>
  </si>
  <si>
    <t>D01</t>
  </si>
  <si>
    <t>D02</t>
  </si>
  <si>
    <t>SALIDA COMERCIAL AUTOMÁTICA</t>
  </si>
  <si>
    <t>D03</t>
  </si>
  <si>
    <t>Servicio</t>
  </si>
  <si>
    <t>Índice</t>
  </si>
  <si>
    <t>Esfuerzo</t>
  </si>
  <si>
    <t>Duración</t>
  </si>
  <si>
    <t>Presupuesto objetivo sin IVA</t>
  </si>
  <si>
    <t>Banda comercial sin IVA</t>
  </si>
  <si>
    <t>Presupuesto / fee con IVA</t>
  </si>
  <si>
    <t>Valor 12 meses</t>
  </si>
  <si>
    <t>Alerta / alcance</t>
  </si>
  <si>
    <t>D04</t>
  </si>
  <si>
    <t>Implementación LOPDP</t>
  </si>
  <si>
    <t>—</t>
  </si>
  <si>
    <t>D05</t>
  </si>
  <si>
    <t>Auditoría LOPDP</t>
  </si>
  <si>
    <t>D06</t>
  </si>
  <si>
    <t>DPO externo</t>
  </si>
  <si>
    <t>12 meses</t>
  </si>
  <si>
    <t>D07</t>
  </si>
  <si>
    <t>D08</t>
  </si>
  <si>
    <t>Cobertura</t>
  </si>
  <si>
    <t>No sabe / desconocidos</t>
  </si>
  <si>
    <t>Estado información</t>
  </si>
  <si>
    <t>IVA ref.</t>
  </si>
  <si>
    <t>Modelo</t>
  </si>
  <si>
    <t>MD-SGPDP v1.3</t>
  </si>
  <si>
    <t>Uso</t>
  </si>
  <si>
    <t>Interno SMARTCIDI</t>
  </si>
  <si>
    <t>D09</t>
  </si>
  <si>
    <t>D10</t>
  </si>
  <si>
    <t>INSTRUCCIONES DE USO</t>
  </si>
  <si>
    <t>D11</t>
  </si>
  <si>
    <t>En las listas múltiples NO escriba un número ni nombres de herramientas en una sola celda. Marque cada categoría por separado. Si desconoce una respuesta, seleccione “No sabe” o “Desconocido”; tres o más incertidumbres relevantes generan una cotización provisional.</t>
  </si>
  <si>
    <t>D12</t>
  </si>
  <si>
    <t>D13</t>
  </si>
  <si>
    <t>A. PERFIL, ESCALA Y MADUREZ DE PROCESOS</t>
  </si>
  <si>
    <t>D14</t>
  </si>
  <si>
    <t>Pregunta cerrada</t>
  </si>
  <si>
    <t>Respuesta</t>
  </si>
  <si>
    <t>Opciones / unidad</t>
  </si>
  <si>
    <t>Criterio objetivo</t>
  </si>
  <si>
    <t>D15</t>
  </si>
  <si>
    <t>Número total de empleados y terceros recurrentes con acceso habitual a información.</t>
  </si>
  <si>
    <t>rango</t>
  </si>
  <si>
    <t>Contar personas con acceso recurrente, no proveedores ocasionales.</t>
  </si>
  <si>
    <t>D16</t>
  </si>
  <si>
    <t>Número total de sucursales, locales, oficinas, bodegas o centros con operación propia.</t>
  </si>
  <si>
    <t>Contar ubicaciones con usuarios, archivos o procesos propios.</t>
  </si>
  <si>
    <t>D17</t>
  </si>
  <si>
    <t>Número de áreas/unidades que tratan datos personales.</t>
  </si>
  <si>
    <t>Área que recolecta, consulta, modifica, comparte o conserva datos.</t>
  </si>
  <si>
    <t>D18</t>
  </si>
  <si>
    <t>Número de procesos de negocio que involucran datos personales.</t>
  </si>
  <si>
    <t>Si no existe inventario, marcar Desconocido.</t>
  </si>
  <si>
    <t>D19</t>
  </si>
  <si>
    <t>Porcentaje de procesos anteriores formalmente identificados y documentados.</t>
  </si>
  <si>
    <t>rango %</t>
  </si>
  <si>
    <t>Solo si existe ficha, flujo, procedimiento o equivalente vigente.</t>
  </si>
  <si>
    <t>D20</t>
  </si>
  <si>
    <t>Número aproximado de titulares activos + históricos conservados.</t>
  </si>
  <si>
    <t>Clientes, leads, empleados, ex empleados, proveedores persona natural y otros.</t>
  </si>
  <si>
    <t>Número de registros de menores de 18 años tratados habitualmente.</t>
  </si>
  <si>
    <t>No incluir interacciones meramente excepcionales.</t>
  </si>
  <si>
    <t>Porcentaje de procesos con datos personales cubiertos por RAT/inventario equivalente.</t>
  </si>
  <si>
    <t>Cobertura real del RAT respecto de procesos.</t>
  </si>
  <si>
    <t>Incidentes de privacidad o seguridad identificados en los últimos 24 meses.</t>
  </si>
  <si>
    <t>Pérdida, phishing, malware, envío erróneo, acceso indebido, robo, fuga, etc.</t>
  </si>
  <si>
    <t>Tiempo habitual para entregar evidencia solicitada por el consultor.</t>
  </si>
  <si>
    <t>rango de días</t>
  </si>
  <si>
    <t>Afecta calendario, no horas técnicas.</t>
  </si>
  <si>
    <t>¿Mantiene archivo físico con datos personales?</t>
  </si>
  <si>
    <t>Contratos, formularios, expedientes, facturas, hojas de vida u otros.</t>
  </si>
  <si>
    <t>¿Cómo se gestiona la información entre sucursales/locales?</t>
  </si>
  <si>
    <t>selección</t>
  </si>
  <si>
    <t>Centralizado = gobierno común; descentralizado = cada local gestiona archivos/usuarios con autonomía.</t>
  </si>
  <si>
    <t>B. SELECCIÓN MÚLTIPLE – marque cada categoría con Sí / No / No sabe</t>
  </si>
  <si>
    <t>Categoría de sistema</t>
  </si>
  <si>
    <t>¿Se utiliza?</t>
  </si>
  <si>
    <t>Ejemplos</t>
  </si>
  <si>
    <t>Por qué importa</t>
  </si>
  <si>
    <t>ERP / gestión administrativa</t>
  </si>
  <si>
    <t>SAP, Odoo, Dynamics, otros</t>
  </si>
  <si>
    <t>Inventario de sistemas, proveedor, accesos y conservación.</t>
  </si>
  <si>
    <t>POS / facturación / caja</t>
  </si>
  <si>
    <t>POS, facturación electrónica, caja</t>
  </si>
  <si>
    <t>Datos de clientes, compras, facturas y medios de pago.</t>
  </si>
  <si>
    <t>CRM / gestión de clientes</t>
  </si>
  <si>
    <t>HighLevel, HubSpot, Salesforce, otros</t>
  </si>
  <si>
    <t>Marketing, ventas, perfiles y comunicaciones.</t>
  </si>
  <si>
    <t>E-commerce / portal web</t>
  </si>
  <si>
    <t>Shopify, WooCommerce, Magento, portal propio</t>
  </si>
  <si>
    <t>Clientes, pedidos, pagos, cookies y terceros.</t>
  </si>
  <si>
    <t>RR.HH. / nómina / asistencia</t>
  </si>
  <si>
    <t>Nómina, IESS, asistencia, biometría</t>
  </si>
  <si>
    <t>Datos laborales y posibles categorías especiales.</t>
  </si>
  <si>
    <t>Nube / gestión documental</t>
  </si>
  <si>
    <t>Google Workspace, Microsoft 365, Drive, Dropbox</t>
  </si>
  <si>
    <t>Ubicación, accesos, proveedores y transferencias.</t>
  </si>
  <si>
    <t>Correo / colaboración</t>
  </si>
  <si>
    <t>Microsoft 365, Google Workspace, Slack, Teams</t>
  </si>
  <si>
    <t>Intercambio y conservación de información.</t>
  </si>
  <si>
    <t>Marketing / email / publicidad</t>
  </si>
  <si>
    <t>Mailchimp, Meta Ads, Google Ads, automatización</t>
  </si>
  <si>
    <t>Prospección, segmentación, perfiles y oposición.</t>
  </si>
  <si>
    <t>WhatsApp / omnicanal / chat</t>
  </si>
  <si>
    <t>WhatsApp Business, chat web, bots</t>
  </si>
  <si>
    <t>Canal de recolección, evidencia y terceros.</t>
  </si>
  <si>
    <t>DVR/NVR, cámaras cloud</t>
  </si>
  <si>
    <t>Imágenes, retención, accesos y señalización.</t>
  </si>
  <si>
    <t>Biometría / control de acceso</t>
  </si>
  <si>
    <t>Huella, rostro, torniquetes</t>
  </si>
  <si>
    <t>Riesgo elevado cuando permite identificación única.</t>
  </si>
  <si>
    <t>Apps / fidelización / loyalty</t>
  </si>
  <si>
    <t>App móvil, puntos, membresías</t>
  </si>
  <si>
    <t>Perfilamiento, hábitos de consumo, tracking.</t>
  </si>
  <si>
    <t>BI / analítica / data warehouse</t>
  </si>
  <si>
    <t>Power BI, Tableau, BigQuery, otros</t>
  </si>
  <si>
    <t>Consolidación, cruces de datos y acceso ampliado.</t>
  </si>
  <si>
    <t>Resumen sistemas</t>
  </si>
  <si>
    <t>El modelo cuenta categorías marcadas “Sí”.</t>
  </si>
  <si>
    <t>No ingresar un total manual.</t>
  </si>
  <si>
    <t>C. CANALES DE RECOLECCIÓN – SELECCIÓN MÚLTIPLE</t>
  </si>
  <si>
    <t>Canal</t>
  </si>
  <si>
    <t>¿Recolecta datos?</t>
  </si>
  <si>
    <t>Ejemplo de uso</t>
  </si>
  <si>
    <t>Local físico / POS</t>
  </si>
  <si>
    <t>Compra, facturación, devolución.</t>
  </si>
  <si>
    <t>Formularios físicos</t>
  </si>
  <si>
    <t>Registro, garantía, crédito, encuesta.</t>
  </si>
  <si>
    <t>Sitio web</t>
  </si>
  <si>
    <t>Contacto, cookies, formularios.</t>
  </si>
  <si>
    <t>E-commerce</t>
  </si>
  <si>
    <t>Cuenta, compra, entrega, pago.</t>
  </si>
  <si>
    <t>Ventas, servicio, soporte.</t>
  </si>
  <si>
    <t>Redes sociales</t>
  </si>
  <si>
    <t>Leads, mensajes, campañas.</t>
  </si>
  <si>
    <t>Call center / teléfono</t>
  </si>
  <si>
    <t>Ventas, reclamos, soporte.</t>
  </si>
  <si>
    <t>Aplicación móvil</t>
  </si>
  <si>
    <t>Cuenta, geolocalización, fidelización.</t>
  </si>
  <si>
    <t>CRM / formularios comerciales</t>
  </si>
  <si>
    <t>Lead, prospecto, oportunidad.</t>
  </si>
  <si>
    <t>Email / campañas</t>
  </si>
  <si>
    <t>Boletines, promociones, remarketing.</t>
  </si>
  <si>
    <t>CCTV</t>
  </si>
  <si>
    <t>Videovigilancia en local/bodega/oficina.</t>
  </si>
  <si>
    <t>Biometría / acceso</t>
  </si>
  <si>
    <t>Asistencia, control de acceso.</t>
  </si>
  <si>
    <t>Resumen canales</t>
  </si>
  <si>
    <t>Categorías marcadas “Sí”.</t>
  </si>
  <si>
    <t>D. TERCEROS / PROVEEDORES – SELECCIÓN MÚLTIPLE</t>
  </si>
  <si>
    <t>Tipo de proveedor</t>
  </si>
  <si>
    <t>¿Accede/procesa datos?</t>
  </si>
  <si>
    <t>¿Entidad o infraestructura fuera de Ecuador?</t>
  </si>
  <si>
    <t>Cloud / hosting / SaaS</t>
  </si>
  <si>
    <t>Microsoft, Google, AWS, CRM, e-commerce.</t>
  </si>
  <si>
    <t>Pasarela / adquirencia / pagos</t>
  </si>
  <si>
    <t>Procesador de pagos, antifraude.</t>
  </si>
  <si>
    <t>Logística / delivery / courier</t>
  </si>
  <si>
    <t>Direcciones, teléfono, pedidos.</t>
  </si>
  <si>
    <t>Marketing / publicidad / analytics</t>
  </si>
  <si>
    <t>Agencias, email, pixel, analítica.</t>
  </si>
  <si>
    <t>RR.HH. / nómina / medicina ocupacional</t>
  </si>
  <si>
    <t>Nómina, selección, beneficios.</t>
  </si>
  <si>
    <t>TI / soporte / ciberseguridad</t>
  </si>
  <si>
    <t>Mesa de ayuda, backups, monitoreo.</t>
  </si>
  <si>
    <t>Seguridad / CCTV</t>
  </si>
  <si>
    <t>Guardias, monitoreo, cámaras.</t>
  </si>
  <si>
    <t>Call center / atención al cliente</t>
  </si>
  <si>
    <t>Outsourcing de contacto.</t>
  </si>
  <si>
    <t>Archivo / custodia / destrucción</t>
  </si>
  <si>
    <t>Archivo físico, digitalización.</t>
  </si>
  <si>
    <t>Contable / legal / auditoría</t>
  </si>
  <si>
    <t>Asesores con acceso a expedientes.</t>
  </si>
  <si>
    <t>ERP / CRM / software de negocio</t>
  </si>
  <si>
    <t>Proveedores de aplicaciones.</t>
  </si>
  <si>
    <t>Otros outsourcing operativos</t>
  </si>
  <si>
    <t>Terceros con acceso recurrente.</t>
  </si>
  <si>
    <t>Resumen proveedores</t>
  </si>
  <si>
    <t>El modelo cuenta categorías, no contratos individuales.</t>
  </si>
  <si>
    <t>E. CATEGORÍAS ESPECIALES, SENSIBLES Y DATOS DE MAYOR IMPACTO – SELECCIÓN MÚLTIPLE</t>
  </si>
  <si>
    <t>Categoría</t>
  </si>
  <si>
    <t>¿Se trata?</t>
  </si>
  <si>
    <t>Referencia práctica</t>
  </si>
  <si>
    <t>Etnia / origen racial</t>
  </si>
  <si>
    <t>Dato sensible según definición LOPDP.</t>
  </si>
  <si>
    <t>Identidad de género o identidad cultural</t>
  </si>
  <si>
    <t>Religión / ideología / filiación política</t>
  </si>
  <si>
    <t>Pasado judicial</t>
  </si>
  <si>
    <t>Condición migratoria / refugio</t>
  </si>
  <si>
    <t>Dato sensible o de especial vulnerabilidad según contexto.</t>
  </si>
  <si>
    <t>Orientación sexual / vida sexual</t>
  </si>
  <si>
    <t>Dato sensible.</t>
  </si>
  <si>
    <t>Datos de salud</t>
  </si>
  <si>
    <t>Categoría especial; incluye salud física o mental.</t>
  </si>
  <si>
    <t>Datos biométricos para identificación única</t>
  </si>
  <si>
    <t>Huella, rostro u otro patrón usado para identificar.</t>
  </si>
  <si>
    <t>Datos genéticos</t>
  </si>
  <si>
    <t>Categoría especial art. 25 LOPDP.</t>
  </si>
  <si>
    <t>Datos de discapacidad / sustitutos</t>
  </si>
  <si>
    <t>Datos crediticios / patrimoniales</t>
  </si>
  <si>
    <t>No siempre categoría especial, pero incrementa impacto y seguridad.</t>
  </si>
  <si>
    <t>Resumen categorías</t>
  </si>
  <si>
    <t>El índice D11 cuenta categorías marcadas “Sí”.</t>
  </si>
  <si>
    <t>F. MONITOREO / PERFILAMIENTO DE MAYOR IMPACTO – SELECCIÓN MÚLTIPLE</t>
  </si>
  <si>
    <t>Mecanismo</t>
  </si>
  <si>
    <t>Criterio</t>
  </si>
  <si>
    <t>Operación habitual de cámaras.</t>
  </si>
  <si>
    <t>Biometría para identificación/control</t>
  </si>
  <si>
    <t>Huella, rostro u otro patrón.</t>
  </si>
  <si>
    <t>Geolocalización sistemática</t>
  </si>
  <si>
    <t>Clientes, repartidores, flota o app.</t>
  </si>
  <si>
    <t>Preferencias, fraude, marketing, fidelización.</t>
  </si>
  <si>
    <t>Decisiones automatizadas con efecto relevante</t>
  </si>
  <si>
    <t>Decisión sin intervención humana significativa.</t>
  </si>
  <si>
    <t>Tracking comportamental multicanal</t>
  </si>
  <si>
    <t>Seguimiento de navegación/consumo entre canales.</t>
  </si>
  <si>
    <t>Resumen mecanismos</t>
  </si>
  <si>
    <t>G. CONTROLES BÁSICOS DE CIBERSEGURIDAD – MARQUE SOLO SI ESTÁ IMPLEMENTADO Y OPERATIVO</t>
  </si>
  <si>
    <t>¿Implementado?</t>
  </si>
  <si>
    <t>Evidencia mínima esperada</t>
  </si>
  <si>
    <t>MFA en cuentas críticas</t>
  </si>
  <si>
    <t>Configuración / política / evidencia de activación.</t>
  </si>
  <si>
    <t>Cuentas individuales, sin credenciales compartidas</t>
  </si>
  <si>
    <t>Listado de usuarios / política.</t>
  </si>
  <si>
    <t>Protección endpoint / antimalware administrado</t>
  </si>
  <si>
    <t>Consola o configuración vigente.</t>
  </si>
  <si>
    <t>Gestión de parches y actualizaciones</t>
  </si>
  <si>
    <t>Política o evidencia de actualización.</t>
  </si>
  <si>
    <t>Cifrado de portátiles/dispositivos</t>
  </si>
  <si>
    <t>BitLocker, FileVault o equivalente.</t>
  </si>
  <si>
    <t>Backups y prueba de restauración</t>
  </si>
  <si>
    <t>Registro de respaldo y prueba.</t>
  </si>
  <si>
    <t>Revisión periódica de accesos/permisos</t>
  </si>
  <si>
    <t>Registro de revisión y bajas.</t>
  </si>
  <si>
    <t>Procedimiento de incidentes de seguridad</t>
  </si>
  <si>
    <t>Procedimiento y responsable.</t>
  </si>
  <si>
    <t>Firewall / seguridad de red o servicio equivalente</t>
  </si>
  <si>
    <t>Configuración o servicio gestionado.</t>
  </si>
  <si>
    <t>Capacitación de seguridad / phishing</t>
  </si>
  <si>
    <t>Registro de capacitación o campaña.</t>
  </si>
  <si>
    <t>Controles implementados</t>
  </si>
  <si>
    <t>El índice penaliza menor cobertura.</t>
  </si>
  <si>
    <t>H. DOCUMENTOS Y CONTROLES LOPDP – MARQUE SOLO SI EXISTEN, ESTÁN APROBADOS Y SE USAN</t>
  </si>
  <si>
    <t>Documento / control</t>
  </si>
  <si>
    <t>Evidencia mínima</t>
  </si>
  <si>
    <t>Política institucional de protección de datos</t>
  </si>
  <si>
    <t>Documento aprobado y vigente.</t>
  </si>
  <si>
    <t>Avisos de privacidad por titulares/canales</t>
  </si>
  <si>
    <t>Textos publicados o entregados.</t>
  </si>
  <si>
    <t>Bases de legitimación / consentimientos documentados</t>
  </si>
  <si>
    <t>Matriz, formularios o evidencia equivalente.</t>
  </si>
  <si>
    <t>Procedimiento, canal y registro.</t>
  </si>
  <si>
    <t>Procedimiento de vulneraciones/incidentes PDP</t>
  </si>
  <si>
    <t>Procedimiento y responsables.</t>
  </si>
  <si>
    <t>Política/reglas de conservación y eliminación</t>
  </si>
  <si>
    <t>Plazos y responsables.</t>
  </si>
  <si>
    <t>Contratos/cláusulas con encargados y terceros</t>
  </si>
  <si>
    <t>Contratos actualizados o adendas.</t>
  </si>
  <si>
    <t>Gestión de riesgos / EIPD cuando corresponde</t>
  </si>
  <si>
    <t>Matriz de riesgos y evaluaciones.</t>
  </si>
  <si>
    <t>Capacitación periódica LOPDP</t>
  </si>
  <si>
    <t>Registro de asistencia/evaluación.</t>
  </si>
  <si>
    <t>Privacidad desde el diseño / gestión de cambios</t>
  </si>
  <si>
    <t>Checklist o evidencia en proyectos/cambios.</t>
  </si>
  <si>
    <t>I. COMPUERTAS REGULATORIAS – NO SUMAN “CUMPLIMIENTO”; ACTIVAN REVISIÓN DE ALCANCE</t>
  </si>
  <si>
    <t>Código</t>
  </si>
  <si>
    <t>G01</t>
  </si>
  <si>
    <t>¿La organización trata habitualmente datos personales de menores de edad?</t>
  </si>
  <si>
    <t>Posible designación obligatoria de DPD según Res. SPDP-SPD-2025-0028-R.</t>
  </si>
  <si>
    <t>G02</t>
  </si>
  <si>
    <t>¿Realiza actividades financieras como actividad empresarial?</t>
  </si>
  <si>
    <t>Revisar art. 10.4 Reglamento DPD.</t>
  </si>
  <si>
    <t>G03</t>
  </si>
  <si>
    <t>¿Realiza operaciones o intermediación de seguros?</t>
  </si>
  <si>
    <t>Revisar art. 10.5 Reglamento DPD.</t>
  </si>
  <si>
    <t>G04</t>
  </si>
  <si>
    <t>¿Realiza publicidad/prospección/investigación de mercados usando preferencias, intereses, comportamiento o perfiles?</t>
  </si>
  <si>
    <t>Revisar art. 10.6 Reglamento DPD.</t>
  </si>
  <si>
    <t>G05</t>
  </si>
  <si>
    <t>¿Es actor del sistema de salud obligado a mantener historias clínicas?</t>
  </si>
  <si>
    <t>Revisar art. 10.7 Reglamento DPD.</t>
  </si>
  <si>
    <t>G06</t>
  </si>
  <si>
    <t>¿Produce, distribuye o comercializa productos farmacéuticos / opera farmacia?</t>
  </si>
  <si>
    <t>Revisar art. 10.8 Reglamento DPD.</t>
  </si>
  <si>
    <t>G07</t>
  </si>
  <si>
    <t>¿Presta seguridad privada o administra control de accesos de urbanizaciones/conjuntos?</t>
  </si>
  <si>
    <t>Revisar art. 10.9 Reglamento DPD.</t>
  </si>
  <si>
    <t>G08</t>
  </si>
  <si>
    <t>¿Presta servicios de telecomunicaciones?</t>
  </si>
  <si>
    <t>Revisar art. 10.12 Reglamento DPD.</t>
  </si>
  <si>
    <t>G09</t>
  </si>
  <si>
    <t>¿Oferta/presta videovigilancia masiva, geolocalización, TI o IA?</t>
  </si>
  <si>
    <t>Revisar art. 10.13 Reglamento DPD.</t>
  </si>
  <si>
    <t>G10</t>
  </si>
  <si>
    <t>¿Es concesionaria o suministradora de servicios públicos?</t>
  </si>
  <si>
    <t>Revisar art. 10.14 Reglamento DPD.</t>
  </si>
  <si>
    <t>C01</t>
  </si>
  <si>
    <t>¿Ha sido clasificada/notificada oficialmente como responsable de infraestructura crítica o servicio esencial?</t>
  </si>
  <si>
    <t>Ley de Ciberseguridad 2026: validar alcance reforzado.</t>
  </si>
  <si>
    <t>C02</t>
  </si>
  <si>
    <t>¿La actividad de la empresa consiste en prestar servicios digitales a terceros bajo su control?</t>
  </si>
  <si>
    <t>Ley de Ciberseguridad 2026: validar obligaciones de PSD.</t>
  </si>
  <si>
    <t>Nota: la compuerta DPD/DPO es una alerta de preventa; la obligación definitiva debe verificarse jurídicamente con la actividad real y la normativa vigente. La Ley de Ciberseguridad 2026 no se aplica automáticamente a todo comercio privado.</t>
  </si>
  <si>
    <t>Parámetros internos SMARTCIDI – Motor de dimensionamiento v1.3</t>
  </si>
  <si>
    <t>Uso interno. Ajuste tarifas y bandas con experiencia real de SMARTCIDI. Las bandas no son tarifas oficiales ni determinaciones de la SPDP.</t>
  </si>
  <si>
    <t>Parámetro</t>
  </si>
  <si>
    <t>Valor inicial</t>
  </si>
  <si>
    <t>Unidad</t>
  </si>
  <si>
    <t>Criterio / fuente interna</t>
  </si>
  <si>
    <t>Tarifa implementación</t>
  </si>
  <si>
    <t>Tarifa interna referencial SMARTCIDI; editable.</t>
  </si>
  <si>
    <t>Tarifa auditoría</t>
  </si>
  <si>
    <t>Tarifa DPO senior</t>
  </si>
  <si>
    <t>Contingencia implementación</t>
  </si>
  <si>
    <t>Coordinación, validaciones y hallazgos no previstos.</t>
  </si>
  <si>
    <t>Contingencia auditoría</t>
  </si>
  <si>
    <t>Coordinación y ampliación razonable de muestra.</t>
  </si>
  <si>
    <t>Cobertura mínima para resultado firme</t>
  </si>
  <si>
    <t>Por debajo de este umbral la cotización se marca provisional.</t>
  </si>
  <si>
    <t>IVA referencial</t>
  </si>
  <si>
    <t>Parámetro editable. Verificar tarifa vigente del servicio al emitir propuesta/factura.</t>
  </si>
  <si>
    <t>Calibración – IMPLEMENTACIÓN LOPDP + controles de seguridad asociados</t>
  </si>
  <si>
    <t>Índice mín.</t>
  </si>
  <si>
    <t>Índice máx.</t>
  </si>
  <si>
    <t>Horas mín.</t>
  </si>
  <si>
    <t>Horas máx.</t>
  </si>
  <si>
    <t>Semanas mín.</t>
  </si>
  <si>
    <t>Semanas máx.</t>
  </si>
  <si>
    <t>Banda mín. sin IVA</t>
  </si>
  <si>
    <t>Banda máx. sin IVA</t>
  </si>
  <si>
    <t>Calibración – AUDITORÍA LOPDP + revisión organizativa/técnica</t>
  </si>
  <si>
    <t>Calibración – DPO EXTERNO (contrato 12 meses)</t>
  </si>
  <si>
    <t>Horas/mes</t>
  </si>
  <si>
    <t>Fee mín./mes</t>
  </si>
  <si>
    <t>Fee máx./mes</t>
  </si>
  <si>
    <t>Uso típico</t>
  </si>
  <si>
    <t>Micro/pequeña, bajo volumen/riesgo</t>
  </si>
  <si>
    <t>PyME estándar, varios procesos/sistemas</t>
  </si>
  <si>
    <t>DPO + apoyo especializado</t>
  </si>
  <si>
    <t>Mayor volumen, terceros o categorías especiales</t>
  </si>
  <si>
    <t>DPO senior + soporte</t>
  </si>
  <si>
    <t>Alta exposición, múltiples procesos/sistemas</t>
  </si>
  <si>
    <t>DPO senior + equipo</t>
  </si>
  <si>
    <t>Dedicación intensiva / operación compleja</t>
  </si>
  <si>
    <t>Respuesta D18</t>
  </si>
  <si>
    <t>Factor calendario</t>
  </si>
  <si>
    <t>≤2 días</t>
  </si>
  <si>
    <t>3–5 días</t>
  </si>
  <si>
    <t>6–10 días</t>
  </si>
  <si>
    <t>11–20 días</t>
  </si>
  <si>
    <t>&gt;20 días</t>
  </si>
  <si>
    <t>Desconocido</t>
  </si>
  <si>
    <t>Clave</t>
  </si>
  <si>
    <t>D01|1–10</t>
  </si>
  <si>
    <t>1–10</t>
  </si>
  <si>
    <t>D01|11–50</t>
  </si>
  <si>
    <t>11–50</t>
  </si>
  <si>
    <t>D01|51–200</t>
  </si>
  <si>
    <t>51–200</t>
  </si>
  <si>
    <t>D01|201–500</t>
  </si>
  <si>
    <t>201–500</t>
  </si>
  <si>
    <t>D01|&gt;500</t>
  </si>
  <si>
    <t>&gt;500</t>
  </si>
  <si>
    <t>D01|Desconocido</t>
  </si>
  <si>
    <t>D02|1</t>
  </si>
  <si>
    <t>1</t>
  </si>
  <si>
    <t>D02|2–3</t>
  </si>
  <si>
    <t>2–3</t>
  </si>
  <si>
    <t>D02|4–10</t>
  </si>
  <si>
    <t>4–10</t>
  </si>
  <si>
    <t>D02|11–30</t>
  </si>
  <si>
    <t>11–30</t>
  </si>
  <si>
    <t>D02|&gt;30</t>
  </si>
  <si>
    <t>&gt;30</t>
  </si>
  <si>
    <t>D02|Desconocido</t>
  </si>
  <si>
    <t>D03|1–3</t>
  </si>
  <si>
    <t>1–3</t>
  </si>
  <si>
    <t>D03|4–6</t>
  </si>
  <si>
    <t>4–6</t>
  </si>
  <si>
    <t>D03|7–10</t>
  </si>
  <si>
    <t>7–10</t>
  </si>
  <si>
    <t>D03|11–15</t>
  </si>
  <si>
    <t>11–15</t>
  </si>
  <si>
    <t>D03|&gt;15</t>
  </si>
  <si>
    <t>&gt;15</t>
  </si>
  <si>
    <t>D03|Desconocido</t>
  </si>
  <si>
    <t>D04|1–5</t>
  </si>
  <si>
    <t>1–5</t>
  </si>
  <si>
    <t>D04|6–10</t>
  </si>
  <si>
    <t>6–10</t>
  </si>
  <si>
    <t>D04|11–20</t>
  </si>
  <si>
    <t>11–20</t>
  </si>
  <si>
    <t>D04|21–40</t>
  </si>
  <si>
    <t>21–40</t>
  </si>
  <si>
    <t>D04|&gt;40</t>
  </si>
  <si>
    <t>&gt;40</t>
  </si>
  <si>
    <t>D04|Desconocido</t>
  </si>
  <si>
    <t>D05|&gt;80%</t>
  </si>
  <si>
    <t>&gt;80%</t>
  </si>
  <si>
    <t>D05|61–80%</t>
  </si>
  <si>
    <t>61–80%</t>
  </si>
  <si>
    <t>D05|31–60%</t>
  </si>
  <si>
    <t>31–60%</t>
  </si>
  <si>
    <t>D05|1–30%</t>
  </si>
  <si>
    <t>1–30%</t>
  </si>
  <si>
    <t>D05|0% / no inventariados</t>
  </si>
  <si>
    <t>0% / no inventariados</t>
  </si>
  <si>
    <t>D05|Desconocido</t>
  </si>
  <si>
    <t>D06|&lt;1.000</t>
  </si>
  <si>
    <t>&lt;1.000</t>
  </si>
  <si>
    <t>D06|1.000–10.000</t>
  </si>
  <si>
    <t>1.000–10.000</t>
  </si>
  <si>
    <t>D06|10.001–50.000</t>
  </si>
  <si>
    <t>10.001–50.000</t>
  </si>
  <si>
    <t>D06|50.001–250.000</t>
  </si>
  <si>
    <t>50.001–250.000</t>
  </si>
  <si>
    <t>D06|&gt;250.000</t>
  </si>
  <si>
    <t>&gt;250.000</t>
  </si>
  <si>
    <t>D06|Desconocido</t>
  </si>
  <si>
    <t>D07|0–2</t>
  </si>
  <si>
    <t>0–2</t>
  </si>
  <si>
    <t>D07|3–5</t>
  </si>
  <si>
    <t>3–5</t>
  </si>
  <si>
    <t>D07|6–8</t>
  </si>
  <si>
    <t>6–8</t>
  </si>
  <si>
    <t>D07|9–11</t>
  </si>
  <si>
    <t>9–11</t>
  </si>
  <si>
    <t>D07|≥12</t>
  </si>
  <si>
    <t>≥12</t>
  </si>
  <si>
    <t>D07|Desconocido</t>
  </si>
  <si>
    <t>D08|0–2</t>
  </si>
  <si>
    <t>D08|3–4</t>
  </si>
  <si>
    <t>3–4</t>
  </si>
  <si>
    <t>D08|5–6</t>
  </si>
  <si>
    <t>5–6</t>
  </si>
  <si>
    <t>D08|7–9</t>
  </si>
  <si>
    <t>7–9</t>
  </si>
  <si>
    <t>D08|≥10</t>
  </si>
  <si>
    <t>≥10</t>
  </si>
  <si>
    <t>D08|Desconocido</t>
  </si>
  <si>
    <t>D09|0–2</t>
  </si>
  <si>
    <t>D09|3–4</t>
  </si>
  <si>
    <t>D09|5–7</t>
  </si>
  <si>
    <t>5–7</t>
  </si>
  <si>
    <t>D09|8–10</t>
  </si>
  <si>
    <t>8–10</t>
  </si>
  <si>
    <t>D09|≥11</t>
  </si>
  <si>
    <t>≥11</t>
  </si>
  <si>
    <t>D09|Desconocido</t>
  </si>
  <si>
    <t>D10|0</t>
  </si>
  <si>
    <t>0</t>
  </si>
  <si>
    <t>D10|1</t>
  </si>
  <si>
    <t>D10|2–3</t>
  </si>
  <si>
    <t>D10|4–5</t>
  </si>
  <si>
    <t>4–5</t>
  </si>
  <si>
    <t>D10|≥6</t>
  </si>
  <si>
    <t>≥6</t>
  </si>
  <si>
    <t>D10|Desconocido</t>
  </si>
  <si>
    <t>D11|0</t>
  </si>
  <si>
    <t>D11|1</t>
  </si>
  <si>
    <t>D11|2</t>
  </si>
  <si>
    <t>2</t>
  </si>
  <si>
    <t>D11|3</t>
  </si>
  <si>
    <t>3</t>
  </si>
  <si>
    <t>D11|≥4</t>
  </si>
  <si>
    <t>≥4</t>
  </si>
  <si>
    <t>D11|Desconocido</t>
  </si>
  <si>
    <t>D12|0</t>
  </si>
  <si>
    <t>D12|1–99</t>
  </si>
  <si>
    <t>1–99</t>
  </si>
  <si>
    <t>D12|100–999</t>
  </si>
  <si>
    <t>100–999</t>
  </si>
  <si>
    <t>D12|1.000–10.000</t>
  </si>
  <si>
    <t>D12|&gt;10.000</t>
  </si>
  <si>
    <t>&gt;10.000</t>
  </si>
  <si>
    <t>D12|Desconocido</t>
  </si>
  <si>
    <t>D13|0</t>
  </si>
  <si>
    <t>D13|1</t>
  </si>
  <si>
    <t>D13|2</t>
  </si>
  <si>
    <t>D13|3</t>
  </si>
  <si>
    <t>D13|≥4</t>
  </si>
  <si>
    <t>D13|Desconocido</t>
  </si>
  <si>
    <t>D14|9–10</t>
  </si>
  <si>
    <t>9–10</t>
  </si>
  <si>
    <t>D14|7–8</t>
  </si>
  <si>
    <t>7–8</t>
  </si>
  <si>
    <t>D14|5–6</t>
  </si>
  <si>
    <t>D14|3–4</t>
  </si>
  <si>
    <t>D14|0–2</t>
  </si>
  <si>
    <t>D14|Desconocido</t>
  </si>
  <si>
    <t>D15|9–10</t>
  </si>
  <si>
    <t>D15|7–8</t>
  </si>
  <si>
    <t>D15|5–6</t>
  </si>
  <si>
    <t>D15|3–4</t>
  </si>
  <si>
    <t>D15|0–2</t>
  </si>
  <si>
    <t>D15|Desconocido</t>
  </si>
  <si>
    <t>D16|≥90%</t>
  </si>
  <si>
    <t>≥90%</t>
  </si>
  <si>
    <t>D16|70–89%</t>
  </si>
  <si>
    <t>70–89%</t>
  </si>
  <si>
    <t>D16|40–69%</t>
  </si>
  <si>
    <t>40–69%</t>
  </si>
  <si>
    <t>D16|1–39%</t>
  </si>
  <si>
    <t>1–39%</t>
  </si>
  <si>
    <t>D16|0%</t>
  </si>
  <si>
    <t>0%</t>
  </si>
  <si>
    <t>D16|Desconocido</t>
  </si>
  <si>
    <t>D17|0</t>
  </si>
  <si>
    <t>D17|1</t>
  </si>
  <si>
    <t>D17|2–3</t>
  </si>
  <si>
    <t>D17|4–5</t>
  </si>
  <si>
    <t>D17|&gt;5</t>
  </si>
  <si>
    <t>&gt;5</t>
  </si>
  <si>
    <t>D17|Desconocido</t>
  </si>
  <si>
    <t>D18|≤2 días</t>
  </si>
  <si>
    <t>D18|3–5 días</t>
  </si>
  <si>
    <t>D18|6–10 días</t>
  </si>
  <si>
    <t>D18|11–20 días</t>
  </si>
  <si>
    <t>D18|&gt;20 días</t>
  </si>
  <si>
    <t>D18|Desconocido</t>
  </si>
  <si>
    <t>D19|No</t>
  </si>
  <si>
    <t>D19|Sí</t>
  </si>
  <si>
    <t>D19|No sabe</t>
  </si>
  <si>
    <t>No sabe</t>
  </si>
  <si>
    <t>D20|No aplica</t>
  </si>
  <si>
    <t>D20|Centralizado</t>
  </si>
  <si>
    <t>Centralizado</t>
  </si>
  <si>
    <t>D20|Mixto</t>
  </si>
  <si>
    <t>Mixto</t>
  </si>
  <si>
    <t>D20|Descentralizado</t>
  </si>
  <si>
    <t>Descentralizado</t>
  </si>
  <si>
    <t>D20|No sabe</t>
  </si>
  <si>
    <t>Fuentes de calibración y marco de referencia – actualizar periódicamente</t>
  </si>
  <si>
    <t>Tipo</t>
  </si>
  <si>
    <t>Fuente</t>
  </si>
  <si>
    <t>URL</t>
  </si>
  <si>
    <t>Uso en el modelo</t>
  </si>
  <si>
    <t>Normativa</t>
  </si>
  <si>
    <t>Ley Orgánica de Protección de Datos Personales – Ecuador</t>
  </si>
  <si>
    <t>https://www.registroficial.gob.ec/</t>
  </si>
  <si>
    <t>Seguridad, categorías especiales, responsabilidad proactiva y obligaciones generales.</t>
  </si>
  <si>
    <t>Reglamento del DPD – Resolución SPDP-SPD-2025-0028-R</t>
  </si>
  <si>
    <t>https://spdp.gob.ec/resolucion_028/</t>
  </si>
  <si>
    <t>Compuertas de designación obligatoria del DPO/DPD y funciones.</t>
  </si>
  <si>
    <t>Ley Orgánica para el Fortalecimiento de la Ciberseguridad – R.O. 22/05/2026</t>
  </si>
  <si>
    <t>https://www.registroficial.gob.ec/quinto-suplemento-no-290/</t>
  </si>
  <si>
    <t>Compuerta de alcance reforzado para PSD, servicios esenciales e infraestructura crítica.</t>
  </si>
  <si>
    <t>Mercado</t>
  </si>
  <si>
    <t>Gruppo Avanti – Diagnóstico e Implementación LOPDP</t>
  </si>
  <si>
    <t>https://www.gruppoavanti.com/consultorias-it-iso/</t>
  </si>
  <si>
    <t>Referencia pública: diagnóstico e implementación con precio/plazo publicado; no es tarifa oficial.</t>
  </si>
  <si>
    <t>Tempo Legal – Guía de precios DPD externo Ecuador 2026</t>
  </si>
  <si>
    <t>https://tempolegal.com/delegado-de-proteccion-de-datos-externo-en-ecuador/</t>
  </si>
  <si>
    <t>Referencia pública 2026 para fee DPD por tamaño/riesgo; no es tarifa oficial.</t>
  </si>
  <si>
    <t>Lexify Ecuador – planes legales / DPO</t>
  </si>
  <si>
    <t>https://lexify.ec/</t>
  </si>
  <si>
    <t>Referencia pública adicional para servicios legales/datos.</t>
  </si>
  <si>
    <t>Tributario</t>
  </si>
  <si>
    <t>SRI – Impuesto al Valor Agregado</t>
  </si>
  <si>
    <t>https://www.sri.gob.ec/impuesto-al-valor-agregado-iva</t>
  </si>
  <si>
    <t>Referencia para verificar tarifa de IVA vigente al cotizar.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</si>
</sst>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0.0"/>
    <numFmt numFmtId="166" formatCode="0\ &quot;h&quot;"/>
    <numFmt numFmtId="167" formatCode="0\ &quot;sem&quot;"/>
    <numFmt numFmtId="168" formatCode="\$#,##0.00"/>
    <numFmt numFmtId="169" formatCode="\$#,##0"/>
    <numFmt numFmtId="170" formatCode="\$0.00"/>
  </numFmts>
  <fonts count="34">
    <font>
      <sz val="11"/>
      <name val="Carlito"/>
    </font>
    <font>
      <i/>
      <sz val="11"/>
      <color rgb="FF1F2937"/>
      <name val="Carlito"/>
    </font>
    <font>
      <sz val="11"/>
      <color rgb="FF1F2937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b/>
      <sz val="12"/>
      <name val="Carlito"/>
    </font>
    <font>
      <sz val="10"/>
      <name val="Aptos"/>
    </font>
    <font>
      <b/>
      <sz val="14"/>
      <color rgb="FFFFFFFF"/>
      <name val="Aptos"/>
    </font>
    <font>
      <b/>
      <sz val="12"/>
      <color rgb="FFFFFFFF"/>
      <name val="Carlito"/>
    </font>
    <font>
      <sz val="11"/>
      <color rgb="FF7C2D12"/>
      <name val="Carlito"/>
    </font>
    <font>
      <b/>
      <sz val="15"/>
      <color rgb="FFFFFFFF"/>
      <name val="Carlito"/>
    </font>
    <font>
      <i/>
      <sz val="11"/>
      <color rgb="FF4A4A4A"/>
      <name val="Carlito"/>
    </font>
    <font>
      <b/>
      <sz val="11"/>
      <color rgb="FF263238"/>
      <name val="Carlito"/>
    </font>
    <font>
      <b/>
      <sz val="11"/>
      <color rgb="FF0F3D5E"/>
      <name val="Carlito"/>
    </font>
    <font>
      <i/>
      <sz val="11"/>
      <color rgb="FF6B5A25"/>
      <name val="Carlito"/>
    </font>
    <font>
      <b/>
      <sz val="10"/>
      <color rgb="FF222222"/>
      <name val="Calibri"/>
    </font>
    <font>
      <sz val="10"/>
      <color rgb="FF222222"/>
      <name val="Calibri"/>
    </font>
    <font>
      <i/>
      <sz val="10"/>
      <color rgb="FF222222"/>
      <name val="Calibri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8"/>
      <color rgb="FF777777"/>
      <name val="Calibri"/>
    </font>
    <font>
      <b/>
      <sz val="8"/>
      <color rgb="FF404040"/>
      <name val="Calibri"/>
    </font>
    <font>
      <sz val="10"/>
      <color rgb="FF0563C1"/>
      <name val="Calibri"/>
    </font>
    <font>
      <sz val="9"/>
      <color rgb="FF263238"/>
      <name val="Calibri"/>
    </font>
    <font>
      <b/>
      <sz val="9"/>
      <color rgb="FF263238"/>
      <name val="Calibri"/>
    </font>
    <font>
      <i/>
      <sz val="9"/>
      <color rgb="FF263238"/>
      <name val="Calibri"/>
    </font>
    <font>
      <b/>
      <sz val="9"/>
      <color rgb="FFFFFFFF"/>
      <name val="Calibri"/>
    </font>
    <font>
      <i/>
      <sz val="8"/>
      <color rgb="FF404040"/>
      <name val="Calibri"/>
    </font>
    <font>
      <sz val="9"/>
      <color rgb="FF263238"/>
      <name val="Calibri"/>
    </font>
    <font>
      <b/>
      <sz val="14"/>
      <color rgb="FFC00000"/>
      <name val="Carlito"/>
    </font>
    <font>
      <b/>
      <i/>
      <sz val="14"/>
      <color rgb="FFC00000"/>
      <name val="Carlito"/>
    </font>
  </fonts>
  <fills count="3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0F3D5E"/>
      </patternFill>
    </fill>
    <fill>
      <patternFill patternType="solid">
        <fgColor rgb="FF1F6F8B"/>
      </patternFill>
    </fill>
    <fill>
      <patternFill patternType="solid">
        <fgColor rgb="FF1F6F8B"/>
      </patternFill>
    </fill>
    <fill>
      <patternFill patternType="solid">
        <fgColor rgb="FFEAF4F8"/>
      </patternFill>
    </fill>
    <fill>
      <patternFill patternType="solid">
        <fgColor rgb="FFFFF7ED"/>
      </patternFill>
    </fill>
    <fill>
      <patternFill patternType="solid">
        <fgColor rgb="FFFFF7ED"/>
      </patternFill>
    </fill>
    <fill>
      <patternFill patternType="solid">
        <fgColor rgb="FF174A6A"/>
      </patternFill>
    </fill>
    <fill>
      <patternFill patternType="solid">
        <fgColor rgb="FFEAF4F9"/>
      </patternFill>
    </fill>
    <fill>
      <patternFill patternType="solid">
        <fgColor rgb="FF287D98"/>
      </patternFill>
    </fill>
    <fill>
      <patternFill patternType="solid">
        <fgColor rgb="FFF7FBFD"/>
      </patternFill>
    </fill>
    <fill>
      <patternFill patternType="solid">
        <fgColor rgb="FFFFF6E8"/>
      </patternFill>
    </fill>
    <fill>
      <patternFill patternType="solid">
        <fgColor rgb="FFF2F4F5"/>
      </patternFill>
    </fill>
    <fill>
      <patternFill patternType="solid">
        <fgColor rgb="FF1F6F8B"/>
      </patternFill>
    </fill>
    <fill>
      <patternFill patternType="solid">
        <fgColor rgb="FFEAF4F9"/>
      </patternFill>
    </fill>
    <fill>
      <patternFill patternType="solid">
        <fgColor rgb="FF287D98"/>
      </patternFill>
    </fill>
    <fill>
      <patternFill patternType="solid">
        <fgColor rgb="FFF7FAFC"/>
      </patternFill>
    </fill>
    <fill>
      <patternFill patternType="solid">
        <fgColor rgb="FFFFFBEA"/>
      </patternFill>
    </fill>
    <fill>
      <patternFill patternType="solid">
        <fgColor rgb="FFF7F9FA"/>
      </patternFill>
    </fill>
    <fill>
      <patternFill patternType="solid">
        <fgColor rgb="FF155A70"/>
      </patternFill>
    </fill>
    <fill>
      <patternFill patternType="solid">
        <fgColor rgb="FFDCEFF5"/>
      </patternFill>
    </fill>
    <fill>
      <patternFill patternType="solid">
        <fgColor rgb="FF1F7894"/>
      </patternFill>
    </fill>
    <fill>
      <patternFill patternType="solid">
        <fgColor rgb="FF17365D"/>
      </patternFill>
    </fill>
    <fill>
      <patternFill patternType="solid">
        <fgColor rgb="FFFFF9E6"/>
      </patternFill>
    </fill>
    <fill>
      <patternFill patternType="solid">
        <fgColor rgb="FFEAF4F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4F5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7FAFC"/>
      </patternFill>
    </fill>
    <fill>
      <patternFill patternType="solid">
        <fgColor rgb="FFFCE8D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3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2" fontId="0" fillId="0" borderId="0" xfId="0" applyNumberFormat="1" applyFont="1" applyFill="1" applyBorder="1" applyAlignment="1">
      <alignment vertical="top" wrapText="1"/>
    </xf>
    <xf numFmtId="0" fontId="0" fillId="4" borderId="0" xfId="0" applyNumberFormat="1" applyFont="1" applyFill="1" applyBorder="1" applyAlignment="1">
      <alignment vertical="top" wrapText="1"/>
    </xf>
    <xf numFmtId="9" fontId="0" fillId="0" borderId="0" xfId="0" applyNumberFormat="1" applyFont="1" applyFill="1" applyBorder="1" applyAlignment="1">
      <alignment wrapText="1"/>
    </xf>
    <xf numFmtId="0" fontId="5" fillId="5" borderId="0" xfId="0" applyNumberFormat="1" applyFont="1" applyFill="1" applyBorder="1" applyAlignment="1">
      <alignment wrapText="1"/>
    </xf>
    <xf numFmtId="1" fontId="6" fillId="6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7" fillId="0" borderId="0" xfId="0" applyNumberFormat="1" applyFont="1" applyFill="1" applyBorder="1"/>
    <xf numFmtId="0" fontId="3" fillId="8" borderId="0" xfId="0" applyNumberFormat="1" applyFont="1" applyFill="1" applyBorder="1" applyAlignment="1">
      <alignment wrapText="1"/>
    </xf>
    <xf numFmtId="0" fontId="3" fillId="8" borderId="0" xfId="0" applyNumberFormat="1" applyFont="1" applyFill="1" applyBorder="1" applyAlignment="1">
      <alignment horizontal="center" wrapText="1"/>
    </xf>
    <xf numFmtId="0" fontId="3" fillId="8" borderId="0" xfId="0" applyNumberFormat="1" applyFont="1" applyFill="1" applyBorder="1" applyAlignment="1">
      <alignment horizontal="center" vertical="center" wrapText="1"/>
    </xf>
    <xf numFmtId="0" fontId="3" fillId="9" borderId="0" xfId="0" applyNumberFormat="1" applyFont="1" applyFill="1" applyBorder="1" applyAlignment="1">
      <alignment wrapText="1"/>
    </xf>
    <xf numFmtId="0" fontId="0" fillId="10" borderId="0" xfId="0" applyNumberFormat="1" applyFont="1" applyFill="1" applyBorder="1" applyAlignment="1">
      <alignment wrapText="1"/>
    </xf>
    <xf numFmtId="0" fontId="0" fillId="11" borderId="0" xfId="0" applyNumberFormat="1" applyFont="1" applyFill="1" applyBorder="1" applyAlignment="1">
      <alignment wrapText="1"/>
    </xf>
    <xf numFmtId="164" fontId="9" fillId="8" borderId="0" xfId="0" applyNumberFormat="1" applyFont="1" applyFill="1" applyBorder="1" applyAlignment="1">
      <alignment horizontal="center" wrapText="1"/>
    </xf>
    <xf numFmtId="164" fontId="6" fillId="6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vertical="top" wrapText="1"/>
    </xf>
    <xf numFmtId="0" fontId="10" fillId="11" borderId="0" xfId="0" applyNumberFormat="1" applyFont="1" applyFill="1" applyBorder="1" applyAlignment="1">
      <alignment wrapText="1"/>
    </xf>
    <xf numFmtId="9" fontId="10" fillId="11" borderId="0" xfId="0" applyNumberFormat="1" applyFont="1" applyFill="1" applyBorder="1" applyAlignment="1">
      <alignment wrapText="1"/>
    </xf>
    <xf numFmtId="0" fontId="10" fillId="12" borderId="0" xfId="0" applyNumberFormat="1" applyFont="1" applyFill="1" applyBorder="1" applyAlignment="1">
      <alignment wrapText="1"/>
    </xf>
    <xf numFmtId="0" fontId="3" fillId="15" borderId="0" xfId="0" applyNumberFormat="1" applyFont="1" applyFill="1" applyBorder="1" applyAlignment="1">
      <alignment horizontal="center" vertical="center" wrapText="1"/>
    </xf>
    <xf numFmtId="0" fontId="0" fillId="16" borderId="0" xfId="0" applyNumberFormat="1" applyFont="1" applyFill="1" applyBorder="1" applyAlignment="1">
      <alignment vertical="top" wrapText="1"/>
    </xf>
    <xf numFmtId="0" fontId="0" fillId="17" borderId="0" xfId="0" applyNumberFormat="1" applyFont="1" applyFill="1" applyBorder="1" applyAlignment="1">
      <alignment vertical="top" wrapText="1"/>
    </xf>
    <xf numFmtId="0" fontId="0" fillId="18" borderId="0" xfId="0" applyNumberFormat="1" applyFont="1" applyFill="1" applyBorder="1" applyAlignment="1">
      <alignment vertical="top" wrapText="1"/>
    </xf>
    <xf numFmtId="49" fontId="6" fillId="6" borderId="0" xfId="0" applyNumberFormat="1" applyFont="1" applyFill="1" applyBorder="1" applyAlignment="1">
      <alignment horizontal="center" wrapText="1"/>
    </xf>
    <xf numFmtId="0" fontId="8" fillId="7" borderId="0" xfId="0" applyNumberFormat="1" applyFont="1" applyFill="1" applyBorder="1" applyAlignment="1">
      <alignment horizontal="center" vertical="center" wrapText="1"/>
    </xf>
    <xf numFmtId="0" fontId="3" fillId="19" borderId="1" xfId="0" applyNumberFormat="1" applyFont="1" applyFill="1" applyBorder="1" applyAlignment="1">
      <alignment horizontal="center" vertical="center" wrapText="1"/>
    </xf>
    <xf numFmtId="9" fontId="13" fillId="20" borderId="2" xfId="0" applyNumberFormat="1" applyFont="1" applyFill="1" applyBorder="1" applyAlignment="1">
      <alignment horizontal="center" vertical="center" wrapText="1"/>
    </xf>
    <xf numFmtId="0" fontId="3" fillId="19" borderId="2" xfId="0" applyNumberFormat="1" applyFont="1" applyFill="1" applyBorder="1" applyAlignment="1">
      <alignment horizontal="center" vertical="center" wrapText="1"/>
    </xf>
    <xf numFmtId="165" fontId="13" fillId="20" borderId="2" xfId="0" applyNumberFormat="1" applyFont="1" applyFill="1" applyBorder="1" applyAlignment="1">
      <alignment horizontal="center" vertical="center" wrapText="1"/>
    </xf>
    <xf numFmtId="0" fontId="13" fillId="20" borderId="2" xfId="0" applyNumberFormat="1" applyFont="1" applyFill="1" applyBorder="1" applyAlignment="1">
      <alignment horizontal="center" vertical="center" wrapText="1"/>
    </xf>
    <xf numFmtId="166" fontId="13" fillId="20" borderId="3" xfId="0" applyNumberFormat="1" applyFont="1" applyFill="1" applyBorder="1" applyAlignment="1">
      <alignment horizontal="center" vertical="center" wrapText="1"/>
    </xf>
    <xf numFmtId="0" fontId="3" fillId="19" borderId="4" xfId="0" applyNumberFormat="1" applyFont="1" applyFill="1" applyBorder="1" applyAlignment="1">
      <alignment horizontal="center" vertical="center" wrapText="1"/>
    </xf>
    <xf numFmtId="167" fontId="13" fillId="20" borderId="0" xfId="0" applyNumberFormat="1" applyFont="1" applyFill="1" applyAlignment="1">
      <alignment horizontal="center" vertical="center" wrapText="1"/>
    </xf>
    <xf numFmtId="0" fontId="3" fillId="19" borderId="0" xfId="0" applyNumberFormat="1" applyFont="1" applyFill="1" applyAlignment="1">
      <alignment horizontal="center" vertical="center" wrapText="1"/>
    </xf>
    <xf numFmtId="168" fontId="13" fillId="20" borderId="0" xfId="0" applyNumberFormat="1" applyFont="1" applyFill="1" applyAlignment="1">
      <alignment horizontal="center" vertical="center" wrapText="1"/>
    </xf>
    <xf numFmtId="168" fontId="13" fillId="20" borderId="5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wrapText="1"/>
    </xf>
    <xf numFmtId="0" fontId="0" fillId="0" borderId="0" xfId="0" applyNumberFormat="1" applyFont="1" applyFill="1" applyAlignment="1">
      <alignment wrapText="1"/>
    </xf>
    <xf numFmtId="0" fontId="0" fillId="0" borderId="5" xfId="0" applyNumberFormat="1" applyFont="1" applyFill="1" applyBorder="1" applyAlignment="1">
      <alignment wrapText="1"/>
    </xf>
    <xf numFmtId="0" fontId="3" fillId="21" borderId="4" xfId="0" applyNumberFormat="1" applyFont="1" applyFill="1" applyBorder="1" applyAlignment="1">
      <alignment horizontal="center" wrapText="1"/>
    </xf>
    <xf numFmtId="0" fontId="13" fillId="0" borderId="4" xfId="0" applyNumberFormat="1" applyFont="1" applyFill="1" applyBorder="1" applyAlignment="1">
      <alignment vertical="center" wrapText="1"/>
    </xf>
    <xf numFmtId="0" fontId="0" fillId="0" borderId="0" xfId="0" applyNumberFormat="1" applyFont="1" applyFill="1" applyAlignment="1">
      <alignment vertical="center" wrapText="1"/>
    </xf>
    <xf numFmtId="168" fontId="13" fillId="23" borderId="0" xfId="0" applyNumberFormat="1" applyFont="1" applyFill="1" applyAlignment="1">
      <alignment vertical="center" wrapText="1"/>
    </xf>
    <xf numFmtId="0" fontId="0" fillId="0" borderId="5" xfId="0" applyNumberFormat="1" applyFont="1" applyFill="1" applyBorder="1" applyAlignment="1">
      <alignment vertical="center" wrapText="1"/>
    </xf>
    <xf numFmtId="165" fontId="13" fillId="23" borderId="0" xfId="0" applyNumberFormat="1" applyFont="1" applyFill="1" applyAlignment="1">
      <alignment vertical="center" wrapText="1"/>
    </xf>
    <xf numFmtId="9" fontId="13" fillId="23" borderId="0" xfId="0" applyNumberFormat="1" applyFont="1" applyFill="1" applyAlignment="1">
      <alignment vertical="center" wrapText="1"/>
    </xf>
    <xf numFmtId="2" fontId="13" fillId="23" borderId="0" xfId="0" applyNumberFormat="1" applyFont="1" applyFill="1" applyAlignment="1">
      <alignment vertical="center" wrapText="1"/>
    </xf>
    <xf numFmtId="0" fontId="3" fillId="19" borderId="5" xfId="0" applyNumberFormat="1" applyFont="1" applyFill="1" applyBorder="1" applyAlignment="1">
      <alignment horizontal="center" vertical="center" wrapText="1"/>
    </xf>
    <xf numFmtId="3" fontId="0" fillId="23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center" vertical="center" wrapText="1"/>
    </xf>
    <xf numFmtId="3" fontId="14" fillId="2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Alignment="1">
      <alignment horizontal="left" wrapText="1"/>
    </xf>
    <xf numFmtId="0" fontId="0" fillId="0" borderId="0" xfId="0" applyNumberFormat="1" applyFont="1" applyFill="1" applyAlignment="1">
      <alignment horizontal="center" wrapText="1"/>
    </xf>
    <xf numFmtId="0" fontId="3" fillId="19" borderId="0" xfId="0" applyNumberFormat="1" applyFont="1" applyFill="1" applyAlignment="1">
      <alignment horizontal="left" vertical="center" wrapText="1"/>
    </xf>
    <xf numFmtId="0" fontId="0" fillId="23" borderId="0" xfId="0" applyNumberFormat="1" applyFont="1" applyFill="1" applyAlignment="1">
      <alignment horizontal="left" vertical="center" wrapText="1"/>
    </xf>
    <xf numFmtId="165" fontId="0" fillId="0" borderId="0" xfId="0" applyNumberFormat="1" applyFont="1" applyFill="1" applyAlignment="1">
      <alignment vertical="center" wrapText="1"/>
    </xf>
    <xf numFmtId="9" fontId="0" fillId="0" borderId="0" xfId="0" applyNumberFormat="1" applyFont="1" applyFill="1" applyAlignment="1">
      <alignment vertical="center" wrapText="1"/>
    </xf>
    <xf numFmtId="0" fontId="13" fillId="0" borderId="0" xfId="0" applyNumberFormat="1" applyFont="1" applyFill="1" applyAlignment="1">
      <alignment vertical="center" wrapText="1"/>
    </xf>
    <xf numFmtId="0" fontId="14" fillId="20" borderId="6" xfId="0" applyNumberFormat="1" applyFont="1" applyFill="1" applyBorder="1" applyAlignment="1">
      <alignment vertical="center" wrapText="1"/>
    </xf>
    <xf numFmtId="165" fontId="14" fillId="20" borderId="7" xfId="0" applyNumberFormat="1" applyFont="1" applyFill="1" applyBorder="1" applyAlignment="1">
      <alignment vertical="center" wrapText="1"/>
    </xf>
    <xf numFmtId="9" fontId="14" fillId="20" borderId="7" xfId="0" applyNumberFormat="1" applyFont="1" applyFill="1" applyBorder="1" applyAlignment="1">
      <alignment vertical="center" wrapText="1"/>
    </xf>
    <xf numFmtId="0" fontId="13" fillId="0" borderId="7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1" fontId="0" fillId="24" borderId="0" xfId="0" applyNumberFormat="1" applyFont="1" applyFill="1" applyAlignment="1">
      <alignment horizontal="center" vertical="center" wrapText="1"/>
    </xf>
    <xf numFmtId="9" fontId="0" fillId="24" borderId="0" xfId="0" applyNumberFormat="1" applyFont="1" applyFill="1" applyAlignment="1">
      <alignment horizontal="center" vertical="center" wrapText="1"/>
    </xf>
    <xf numFmtId="165" fontId="0" fillId="24" borderId="0" xfId="0" applyNumberFormat="1" applyFont="1" applyFill="1" applyAlignment="1">
      <alignment horizontal="center" vertical="center" wrapText="1"/>
    </xf>
    <xf numFmtId="0" fontId="0" fillId="24" borderId="0" xfId="0" applyNumberFormat="1" applyFont="1" applyFill="1" applyAlignment="1">
      <alignment horizontal="center" vertical="center" wrapText="1"/>
    </xf>
    <xf numFmtId="0" fontId="17" fillId="0" borderId="0" xfId="0" applyNumberFormat="1" applyFont="1" applyFill="1" applyBorder="1"/>
    <xf numFmtId="0" fontId="17" fillId="0" borderId="0" xfId="0" applyNumberFormat="1" applyFont="1" applyFill="1" applyBorder="1" applyAlignment="1">
      <alignment wrapText="1"/>
    </xf>
    <xf numFmtId="0" fontId="16" fillId="8" borderId="0" xfId="0" applyNumberFormat="1" applyFont="1" applyFill="1" applyBorder="1" applyAlignment="1">
      <alignment horizontal="center" wrapText="1"/>
    </xf>
    <xf numFmtId="9" fontId="16" fillId="22" borderId="0" xfId="0" applyNumberFormat="1" applyFont="1" applyFill="1" applyBorder="1" applyAlignment="1">
      <alignment horizontal="center" wrapText="1"/>
    </xf>
    <xf numFmtId="0" fontId="16" fillId="22" borderId="0" xfId="0" applyNumberFormat="1" applyFont="1" applyFill="1" applyBorder="1" applyAlignment="1">
      <alignment horizontal="center" wrapText="1"/>
    </xf>
    <xf numFmtId="0" fontId="17" fillId="22" borderId="0" xfId="0" applyNumberFormat="1" applyFont="1" applyFill="1" applyBorder="1" applyAlignment="1">
      <alignment vertical="top" wrapText="1"/>
    </xf>
    <xf numFmtId="0" fontId="17" fillId="22" borderId="0" xfId="0" applyNumberFormat="1" applyFont="1" applyFill="1" applyBorder="1" applyAlignment="1">
      <alignment horizontal="center" vertical="top" wrapText="1"/>
    </xf>
    <xf numFmtId="0" fontId="17" fillId="14" borderId="0" xfId="0" applyNumberFormat="1" applyFont="1" applyFill="1" applyBorder="1" applyAlignment="1">
      <alignment horizontal="center" vertical="top" wrapText="1"/>
    </xf>
    <xf numFmtId="0" fontId="17" fillId="0" borderId="0" xfId="0" applyNumberFormat="1" applyFont="1" applyFill="1" applyBorder="1" applyAlignment="1">
      <alignment vertical="top" wrapText="1"/>
    </xf>
    <xf numFmtId="0" fontId="17" fillId="0" borderId="0" xfId="0" applyNumberFormat="1" applyFont="1" applyFill="1" applyBorder="1" applyAlignment="1">
      <alignment horizontal="center" vertical="top" wrapText="1"/>
    </xf>
    <xf numFmtId="0" fontId="16" fillId="8" borderId="0" xfId="0" applyNumberFormat="1" applyFont="1" applyFill="1" applyBorder="1" applyAlignment="1">
      <alignment wrapText="1"/>
    </xf>
    <xf numFmtId="0" fontId="18" fillId="22" borderId="0" xfId="0" applyNumberFormat="1" applyFont="1" applyFill="1" applyBorder="1" applyAlignment="1">
      <alignment wrapText="1"/>
    </xf>
    <xf numFmtId="169" fontId="17" fillId="0" borderId="0" xfId="0" applyNumberFormat="1" applyFont="1" applyFill="1" applyBorder="1" applyAlignment="1">
      <alignment wrapText="1"/>
    </xf>
    <xf numFmtId="2" fontId="17" fillId="0" borderId="0" xfId="0" applyNumberFormat="1" applyFont="1" applyFill="1" applyBorder="1" applyAlignment="1">
      <alignment wrapText="1"/>
    </xf>
    <xf numFmtId="0" fontId="19" fillId="25" borderId="0" xfId="0" applyNumberFormat="1" applyFont="1" applyFill="1" applyBorder="1" applyAlignment="1">
      <alignment horizontal="center" vertical="center" wrapText="1"/>
    </xf>
    <xf numFmtId="0" fontId="20" fillId="26" borderId="0" xfId="0" applyNumberFormat="1" applyFont="1" applyFill="1" applyBorder="1" applyAlignment="1">
      <alignment horizontal="center" vertical="center" wrapText="1"/>
    </xf>
    <xf numFmtId="0" fontId="22" fillId="28" borderId="0" xfId="0" applyNumberFormat="1" applyFont="1" applyFill="1" applyBorder="1" applyAlignment="1">
      <alignment horizontal="center" wrapText="1"/>
    </xf>
    <xf numFmtId="0" fontId="22" fillId="28" borderId="0" xfId="0" applyNumberFormat="1" applyFont="1" applyFill="1" applyBorder="1" applyAlignment="1">
      <alignment horizontal="center" vertical="center" wrapText="1"/>
    </xf>
    <xf numFmtId="0" fontId="17" fillId="22" borderId="10" xfId="0" applyNumberFormat="1" applyFont="1" applyFill="1" applyBorder="1" applyAlignment="1">
      <alignment horizontal="center" wrapText="1"/>
    </xf>
    <xf numFmtId="0" fontId="17" fillId="14" borderId="10" xfId="0" applyNumberFormat="1" applyFont="1" applyFill="1" applyBorder="1" applyAlignment="1">
      <alignment wrapText="1"/>
    </xf>
    <xf numFmtId="0" fontId="17" fillId="22" borderId="0" xfId="0" applyNumberFormat="1" applyFont="1" applyFill="1" applyAlignment="1">
      <alignment horizontal="center" wrapText="1"/>
    </xf>
    <xf numFmtId="0" fontId="17" fillId="14" borderId="0" xfId="0" applyNumberFormat="1" applyFont="1" applyFill="1" applyAlignment="1">
      <alignment wrapText="1"/>
    </xf>
    <xf numFmtId="0" fontId="17" fillId="22" borderId="15" xfId="0" applyNumberFormat="1" applyFont="1" applyFill="1" applyBorder="1" applyAlignment="1">
      <alignment horizontal="center" wrapText="1"/>
    </xf>
    <xf numFmtId="0" fontId="17" fillId="14" borderId="15" xfId="0" applyNumberFormat="1" applyFont="1" applyFill="1" applyBorder="1" applyAlignment="1">
      <alignment wrapText="1"/>
    </xf>
    <xf numFmtId="165" fontId="16" fillId="30" borderId="10" xfId="0" applyNumberFormat="1" applyFont="1" applyFill="1" applyBorder="1" applyAlignment="1">
      <alignment horizontal="center" wrapText="1"/>
    </xf>
    <xf numFmtId="0" fontId="16" fillId="30" borderId="10" xfId="0" applyNumberFormat="1" applyFont="1" applyFill="1" applyBorder="1" applyAlignment="1">
      <alignment horizontal="center" wrapText="1"/>
    </xf>
    <xf numFmtId="165" fontId="16" fillId="30" borderId="0" xfId="0" applyNumberFormat="1" applyFont="1" applyFill="1" applyAlignment="1">
      <alignment horizontal="center" wrapText="1"/>
    </xf>
    <xf numFmtId="0" fontId="16" fillId="30" borderId="0" xfId="0" applyNumberFormat="1" applyFont="1" applyFill="1" applyAlignment="1">
      <alignment horizontal="center" wrapText="1"/>
    </xf>
    <xf numFmtId="165" fontId="16" fillId="30" borderId="15" xfId="0" applyNumberFormat="1" applyFont="1" applyFill="1" applyBorder="1" applyAlignment="1">
      <alignment horizontal="center" wrapText="1"/>
    </xf>
    <xf numFmtId="0" fontId="16" fillId="30" borderId="15" xfId="0" applyNumberFormat="1" applyFont="1" applyFill="1" applyBorder="1" applyAlignment="1">
      <alignment horizontal="center" wrapText="1"/>
    </xf>
    <xf numFmtId="168" fontId="17" fillId="31" borderId="10" xfId="0" applyNumberFormat="1" applyFont="1" applyFill="1" applyBorder="1" applyAlignment="1">
      <alignment horizontal="center" wrapText="1"/>
    </xf>
    <xf numFmtId="0" fontId="17" fillId="31" borderId="10" xfId="0" applyNumberFormat="1" applyFont="1" applyFill="1" applyBorder="1" applyAlignment="1">
      <alignment horizontal="center" wrapText="1"/>
    </xf>
    <xf numFmtId="0" fontId="17" fillId="31" borderId="10" xfId="0" applyNumberFormat="1" applyFont="1" applyFill="1" applyBorder="1" applyAlignment="1">
      <alignment wrapText="1"/>
    </xf>
    <xf numFmtId="168" fontId="17" fillId="31" borderId="0" xfId="0" applyNumberFormat="1" applyFont="1" applyFill="1" applyAlignment="1">
      <alignment horizontal="center" wrapText="1"/>
    </xf>
    <xf numFmtId="0" fontId="17" fillId="31" borderId="0" xfId="0" applyNumberFormat="1" applyFont="1" applyFill="1" applyAlignment="1">
      <alignment horizontal="center" wrapText="1"/>
    </xf>
    <xf numFmtId="0" fontId="17" fillId="31" borderId="0" xfId="0" applyNumberFormat="1" applyFont="1" applyFill="1" applyAlignment="1">
      <alignment wrapText="1"/>
    </xf>
    <xf numFmtId="168" fontId="17" fillId="31" borderId="15" xfId="0" applyNumberFormat="1" applyFont="1" applyFill="1" applyBorder="1" applyAlignment="1">
      <alignment horizontal="center" wrapText="1"/>
    </xf>
    <xf numFmtId="0" fontId="17" fillId="32" borderId="10" xfId="0" applyNumberFormat="1" applyFont="1" applyFill="1" applyBorder="1" applyAlignment="1">
      <alignment wrapText="1"/>
    </xf>
    <xf numFmtId="0" fontId="17" fillId="32" borderId="11" xfId="0" applyNumberFormat="1" applyFont="1" applyFill="1" applyBorder="1" applyAlignment="1">
      <alignment wrapText="1"/>
    </xf>
    <xf numFmtId="0" fontId="17" fillId="32" borderId="0" xfId="0" applyNumberFormat="1" applyFont="1" applyFill="1" applyAlignment="1">
      <alignment wrapText="1"/>
    </xf>
    <xf numFmtId="0" fontId="17" fillId="32" borderId="13" xfId="0" applyNumberFormat="1" applyFont="1" applyFill="1" applyBorder="1" applyAlignment="1">
      <alignment wrapText="1"/>
    </xf>
    <xf numFmtId="0" fontId="17" fillId="32" borderId="15" xfId="0" applyNumberFormat="1" applyFont="1" applyFill="1" applyBorder="1" applyAlignment="1">
      <alignment wrapText="1"/>
    </xf>
    <xf numFmtId="0" fontId="17" fillId="32" borderId="16" xfId="0" applyNumberFormat="1" applyFont="1" applyFill="1" applyBorder="1" applyAlignment="1">
      <alignment wrapText="1"/>
    </xf>
    <xf numFmtId="168" fontId="17" fillId="31" borderId="15" xfId="0" applyNumberFormat="1" applyFont="1" applyFill="1" applyBorder="1" applyAlignment="1">
      <alignment wrapText="1"/>
    </xf>
    <xf numFmtId="0" fontId="23" fillId="0" borderId="0" xfId="0" applyNumberFormat="1" applyFont="1" applyFill="1" applyBorder="1"/>
    <xf numFmtId="0" fontId="24" fillId="34" borderId="0" xfId="0" applyNumberFormat="1" applyFont="1" applyFill="1" applyBorder="1"/>
    <xf numFmtId="169" fontId="22" fillId="28" borderId="0" xfId="0" applyNumberFormat="1" applyFont="1" applyFill="1" applyBorder="1" applyAlignment="1">
      <alignment horizontal="center" wrapText="1"/>
    </xf>
    <xf numFmtId="2" fontId="22" fillId="28" borderId="0" xfId="0" applyNumberFormat="1" applyFont="1" applyFill="1" applyBorder="1" applyAlignment="1">
      <alignment horizontal="center" wrapText="1"/>
    </xf>
    <xf numFmtId="170" fontId="17" fillId="29" borderId="0" xfId="0" applyNumberFormat="1" applyFont="1" applyFill="1" applyBorder="1" applyAlignment="1">
      <alignment wrapText="1"/>
    </xf>
    <xf numFmtId="9" fontId="17" fillId="29" borderId="0" xfId="0" applyNumberFormat="1" applyFont="1" applyFill="1" applyBorder="1" applyAlignment="1">
      <alignment wrapText="1"/>
    </xf>
    <xf numFmtId="9" fontId="16" fillId="29" borderId="0" xfId="0" applyNumberFormat="1" applyFont="1" applyFill="1" applyBorder="1" applyAlignment="1">
      <alignment horizontal="center" wrapText="1"/>
    </xf>
    <xf numFmtId="0" fontId="25" fillId="0" borderId="0" xfId="0" applyNumberFormat="1" applyFont="1" applyFill="1" applyBorder="1" applyAlignment="1">
      <alignment wrapText="1"/>
    </xf>
    <xf numFmtId="0" fontId="26" fillId="35" borderId="0" xfId="0" applyNumberFormat="1" applyFont="1" applyFill="1" applyBorder="1" applyAlignment="1">
      <alignment horizontal="center" vertical="center" wrapText="1"/>
    </xf>
    <xf numFmtId="0" fontId="26" fillId="35" borderId="0" xfId="0" applyNumberFormat="1" applyFont="1" applyFill="1" applyBorder="1" applyAlignment="1">
      <alignment vertical="center" wrapText="1"/>
    </xf>
    <xf numFmtId="0" fontId="26" fillId="36" borderId="0" xfId="0" applyNumberFormat="1" applyFont="1" applyFill="1" applyBorder="1" applyAlignment="1">
      <alignment vertical="center" wrapText="1"/>
    </xf>
    <xf numFmtId="0" fontId="26" fillId="36" borderId="0" xfId="0" applyNumberFormat="1" applyFont="1" applyFill="1" applyBorder="1" applyAlignment="1">
      <alignment horizontal="center" vertical="center" wrapText="1"/>
    </xf>
    <xf numFmtId="0" fontId="26" fillId="29" borderId="0" xfId="0" applyNumberFormat="1" applyFont="1" applyFill="1" applyBorder="1" applyAlignment="1">
      <alignment horizontal="center" vertical="center" wrapText="1"/>
    </xf>
    <xf numFmtId="0" fontId="26" fillId="30" borderId="0" xfId="0" applyNumberFormat="1" applyFont="1" applyFill="1" applyBorder="1" applyAlignment="1">
      <alignment vertical="center" wrapText="1"/>
    </xf>
    <xf numFmtId="0" fontId="27" fillId="33" borderId="0" xfId="0" applyNumberFormat="1" applyFont="1" applyFill="1" applyBorder="1" applyAlignment="1">
      <alignment horizontal="center" vertical="center" wrapText="1"/>
    </xf>
    <xf numFmtId="0" fontId="27" fillId="33" borderId="0" xfId="0" applyNumberFormat="1" applyFont="1" applyFill="1" applyBorder="1" applyAlignment="1">
      <alignment vertical="center" wrapText="1"/>
    </xf>
    <xf numFmtId="0" fontId="28" fillId="35" borderId="0" xfId="0" applyNumberFormat="1" applyFont="1" applyFill="1" applyBorder="1" applyAlignment="1">
      <alignment vertical="center" wrapText="1"/>
    </xf>
    <xf numFmtId="0" fontId="28" fillId="36" borderId="0" xfId="0" applyNumberFormat="1" applyFont="1" applyFill="1" applyBorder="1" applyAlignment="1">
      <alignment vertical="center" wrapText="1"/>
    </xf>
    <xf numFmtId="0" fontId="28" fillId="29" borderId="0" xfId="0" applyNumberFormat="1" applyFont="1" applyFill="1" applyBorder="1" applyAlignment="1">
      <alignment horizontal="center" vertical="center" wrapText="1"/>
    </xf>
    <xf numFmtId="0" fontId="28" fillId="30" borderId="0" xfId="0" applyNumberFormat="1" applyFont="1" applyFill="1" applyBorder="1" applyAlignment="1">
      <alignment vertical="center" wrapText="1"/>
    </xf>
    <xf numFmtId="0" fontId="27" fillId="36" borderId="0" xfId="0" applyNumberFormat="1" applyFont="1" applyFill="1" applyBorder="1" applyAlignment="1">
      <alignment vertical="center" wrapText="1"/>
    </xf>
    <xf numFmtId="0" fontId="26" fillId="30" borderId="0" xfId="0" applyNumberFormat="1" applyFont="1" applyFill="1" applyBorder="1" applyAlignment="1">
      <alignment horizontal="center" vertical="center" wrapText="1"/>
    </xf>
    <xf numFmtId="0" fontId="29" fillId="28" borderId="0" xfId="0" applyNumberFormat="1" applyFont="1" applyFill="1" applyBorder="1" applyAlignment="1">
      <alignment horizontal="center" vertical="center" wrapText="1"/>
    </xf>
    <xf numFmtId="0" fontId="29" fillId="27" borderId="9" xfId="0" applyNumberFormat="1" applyFont="1" applyFill="1" applyBorder="1" applyAlignment="1">
      <alignment horizontal="center" vertical="center" wrapText="1"/>
    </xf>
    <xf numFmtId="0" fontId="29" fillId="27" borderId="12" xfId="0" applyNumberFormat="1" applyFont="1" applyFill="1" applyBorder="1" applyAlignment="1">
      <alignment horizontal="center" vertical="center" wrapText="1"/>
    </xf>
    <xf numFmtId="0" fontId="29" fillId="27" borderId="14" xfId="0" applyNumberFormat="1" applyFont="1" applyFill="1" applyBorder="1" applyAlignment="1">
      <alignment horizontal="center" vertical="center" wrapText="1"/>
    </xf>
    <xf numFmtId="0" fontId="27" fillId="35" borderId="0" xfId="0" applyNumberFormat="1" applyFont="1" applyFill="1" applyBorder="1" applyAlignment="1">
      <alignment vertical="top" wrapText="1"/>
    </xf>
    <xf numFmtId="0" fontId="31" fillId="35" borderId="0" xfId="0" applyNumberFormat="1" applyFont="1" applyFill="1" applyBorder="1" applyAlignment="1">
      <alignment vertical="top" wrapText="1"/>
    </xf>
    <xf numFmtId="0" fontId="31" fillId="35" borderId="0" xfId="0" applyNumberFormat="1" applyFont="1" applyFill="1" applyBorder="1" applyAlignment="1">
      <alignment horizontal="center" vertical="top" wrapText="1"/>
    </xf>
    <xf numFmtId="0" fontId="31" fillId="35" borderId="0" xfId="0" applyNumberFormat="1" applyFont="1" applyFill="1" applyBorder="1" applyAlignment="1">
      <alignment wrapText="1"/>
    </xf>
    <xf numFmtId="0" fontId="8" fillId="7" borderId="0" xfId="0" applyNumberFormat="1" applyFont="1" applyFill="1" applyBorder="1" applyAlignment="1">
      <alignment horizontal="center" wrapText="1"/>
    </xf>
    <xf numFmtId="0" fontId="4" fillId="3" borderId="0" xfId="0" applyNumberFormat="1" applyFont="1" applyFill="1" applyBorder="1" applyAlignment="1">
      <alignment horizontal="center"/>
    </xf>
    <xf numFmtId="0" fontId="10" fillId="11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center"/>
    </xf>
    <xf numFmtId="0" fontId="8" fillId="7" borderId="0" xfId="0" applyNumberFormat="1" applyFont="1" applyFill="1" applyBorder="1" applyAlignment="1">
      <alignment horizontal="center" vertical="center" wrapText="1"/>
    </xf>
    <xf numFmtId="0" fontId="8" fillId="13" borderId="0" xfId="0" applyNumberFormat="1" applyFont="1" applyFill="1" applyBorder="1" applyAlignment="1">
      <alignment horizontal="center" vertical="center" wrapText="1"/>
    </xf>
    <xf numFmtId="0" fontId="11" fillId="13" borderId="0" xfId="0" applyNumberFormat="1" applyFont="1" applyFill="1" applyBorder="1" applyAlignment="1">
      <alignment horizontal="center" vertical="center"/>
    </xf>
    <xf numFmtId="0" fontId="12" fillId="14" borderId="0" xfId="0" applyNumberFormat="1" applyFont="1" applyFill="1" applyBorder="1" applyAlignment="1">
      <alignment horizontal="left" vertical="center" wrapText="1"/>
    </xf>
    <xf numFmtId="0" fontId="15" fillId="23" borderId="0" xfId="0" applyNumberFormat="1" applyFont="1" applyFill="1" applyBorder="1" applyAlignment="1">
      <alignment vertical="center" wrapText="1"/>
    </xf>
    <xf numFmtId="0" fontId="14" fillId="20" borderId="4" xfId="0" applyNumberFormat="1" applyFont="1" applyFill="1" applyBorder="1" applyAlignment="1">
      <alignment horizontal="left" vertical="center" wrapText="1"/>
    </xf>
    <xf numFmtId="0" fontId="14" fillId="20" borderId="0" xfId="0" applyNumberFormat="1" applyFont="1" applyFill="1" applyAlignment="1">
      <alignment horizontal="left" vertical="center" wrapText="1"/>
    </xf>
    <xf numFmtId="0" fontId="14" fillId="20" borderId="0" xfId="0" applyNumberFormat="1" applyFont="1" applyFill="1" applyAlignment="1">
      <alignment horizontal="center" vertical="center" wrapText="1"/>
    </xf>
    <xf numFmtId="0" fontId="14" fillId="20" borderId="5" xfId="0" applyNumberFormat="1" applyFont="1" applyFill="1" applyBorder="1" applyAlignment="1">
      <alignment horizontal="left" vertical="center" wrapText="1"/>
    </xf>
    <xf numFmtId="0" fontId="3" fillId="19" borderId="0" xfId="0" applyNumberFormat="1" applyFont="1" applyFill="1" applyAlignment="1">
      <alignment horizontal="center" vertical="center" wrapText="1"/>
    </xf>
    <xf numFmtId="0" fontId="3" fillId="19" borderId="5" xfId="0" applyNumberFormat="1" applyFont="1" applyFill="1" applyBorder="1" applyAlignment="1">
      <alignment horizontal="center" vertical="center" wrapText="1"/>
    </xf>
    <xf numFmtId="0" fontId="32" fillId="37" borderId="0" xfId="0" applyNumberFormat="1" applyFont="1" applyFill="1" applyBorder="1" applyAlignment="1">
      <alignment horizontal="center" vertical="center" wrapText="1"/>
    </xf>
    <xf numFmtId="0" fontId="33" fillId="37" borderId="0" xfId="0" applyNumberFormat="1" applyFont="1" applyFill="1" applyBorder="1" applyAlignment="1">
      <alignment horizontal="center" vertical="center" wrapText="1"/>
    </xf>
    <xf numFmtId="0" fontId="13" fillId="22" borderId="0" xfId="0" applyNumberFormat="1" applyFont="1" applyFill="1" applyAlignment="1">
      <alignment horizontal="left" wrapText="1"/>
    </xf>
    <xf numFmtId="0" fontId="13" fillId="22" borderId="5" xfId="0" applyNumberFormat="1" applyFont="1" applyFill="1" applyBorder="1" applyAlignment="1">
      <alignment horizontal="left" wrapText="1"/>
    </xf>
    <xf numFmtId="0" fontId="3" fillId="21" borderId="4" xfId="0" applyNumberFormat="1" applyFont="1" applyFill="1" applyBorder="1" applyAlignment="1">
      <alignment horizontal="left" wrapText="1"/>
    </xf>
    <xf numFmtId="0" fontId="3" fillId="21" borderId="0" xfId="0" applyNumberFormat="1" applyFont="1" applyFill="1" applyAlignment="1">
      <alignment horizontal="left" wrapText="1"/>
    </xf>
    <xf numFmtId="0" fontId="3" fillId="21" borderId="5" xfId="0" applyNumberFormat="1" applyFont="1" applyFill="1" applyBorder="1" applyAlignment="1">
      <alignment horizontal="left" wrapText="1"/>
    </xf>
    <xf numFmtId="0" fontId="26" fillId="35" borderId="0" xfId="0" applyNumberFormat="1" applyFont="1" applyFill="1" applyBorder="1" applyAlignment="1">
      <alignment vertical="center" wrapText="1"/>
    </xf>
    <xf numFmtId="0" fontId="30" fillId="33" borderId="0" xfId="0" applyNumberFormat="1" applyFont="1" applyFill="1" applyBorder="1" applyAlignment="1">
      <alignment wrapText="1"/>
    </xf>
    <xf numFmtId="0" fontId="21" fillId="27" borderId="0" xfId="0" applyNumberFormat="1" applyFont="1" applyFill="1" applyBorder="1" applyAlignment="1">
      <alignment vertical="center" wrapText="1"/>
    </xf>
    <xf numFmtId="0" fontId="21" fillId="27" borderId="0" xfId="0" applyNumberFormat="1" applyFont="1" applyFill="1" applyBorder="1" applyAlignment="1">
      <alignment horizontal="center" vertical="center" wrapText="1"/>
    </xf>
    <xf numFmtId="0" fontId="29" fillId="27" borderId="0" xfId="0" applyNumberFormat="1" applyFont="1" applyFill="1" applyBorder="1" applyAlignment="1">
      <alignment horizontal="left" vertical="center" wrapText="1"/>
    </xf>
    <xf numFmtId="0" fontId="26" fillId="35" borderId="0" xfId="0" applyNumberFormat="1" applyFont="1" applyFill="1" applyBorder="1" applyAlignment="1">
      <alignment horizontal="center" vertical="center" wrapText="1"/>
    </xf>
    <xf numFmtId="0" fontId="19" fillId="25" borderId="0" xfId="0" applyNumberFormat="1" applyFont="1" applyFill="1" applyBorder="1" applyAlignment="1">
      <alignment horizontal="center" vertical="center" wrapText="1"/>
    </xf>
    <xf numFmtId="0" fontId="20" fillId="26" borderId="0" xfId="0" applyNumberFormat="1" applyFont="1" applyFill="1" applyBorder="1" applyAlignment="1">
      <alignment horizontal="center" vertical="center" wrapText="1"/>
    </xf>
    <xf numFmtId="0" fontId="16" fillId="8" borderId="0" xfId="0" applyNumberFormat="1" applyFont="1" applyFill="1" applyBorder="1" applyAlignment="1">
      <alignment horizontal="center" wrapText="1"/>
    </xf>
    <xf numFmtId="0" fontId="17" fillId="0" borderId="0" xfId="0" applyNumberFormat="1" applyFont="1" applyFill="1" applyBorder="1" applyAlignment="1">
      <alignment wrapText="1"/>
    </xf>
    <xf numFmtId="0" fontId="16" fillId="15" borderId="0" xfId="0" applyNumberFormat="1" applyFont="1" applyFill="1" applyBorder="1" applyAlignment="1">
      <alignment wrapText="1"/>
    </xf>
    <xf numFmtId="0" fontId="21" fillId="27" borderId="0" xfId="0" applyNumberFormat="1" applyFont="1" applyFill="1" applyBorder="1" applyAlignment="1">
      <alignment wrapText="1"/>
    </xf>
    <xf numFmtId="169" fontId="21" fillId="27" borderId="0" xfId="0" applyNumberFormat="1" applyFont="1" applyFill="1" applyBorder="1" applyAlignment="1">
      <alignment wrapText="1"/>
    </xf>
    <xf numFmtId="9" fontId="16" fillId="29" borderId="0" xfId="0" applyNumberFormat="1" applyFont="1" applyFill="1" applyBorder="1" applyAlignment="1">
      <alignment wrapText="1"/>
    </xf>
  </cellXfs>
  <cellStyles count="1">
    <cellStyle name="Normal" xfId="0" builtinId="0"/>
  </cellStyles>
  <dxfs count="6">
    <dxf>
      <font>
        <color rgb="FFC00000"/>
      </font>
      <fill>
        <patternFill>
          <bgColor rgb="FFFCE4D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14532D"/>
      </font>
      <fill>
        <patternFill>
          <bgColor rgb="FFDCFCE7"/>
        </patternFill>
      </fill>
    </dxf>
    <dxf>
      <font>
        <color rgb="FF78350F"/>
      </font>
      <fill>
        <patternFill>
          <bgColor rgb="FFFEF3C7"/>
        </patternFill>
      </fill>
    </dxf>
    <dxf>
      <font>
        <b/>
        <color rgb="FF7C2D12"/>
      </font>
      <fill>
        <patternFill>
          <bgColor rgb="FFFED7AA"/>
        </patternFill>
      </fill>
    </dxf>
    <dxf>
      <font>
        <b/>
        <color rgb="FF7F1D1D"/>
      </font>
      <fill>
        <patternFill>
          <bgColor rgb="FFFCA5A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trizSGPDP" displayName="MatrizSGPDP" ref="A6:Z86">
  <tableColumns count="26">
    <tableColumn id="1" name="ID"/>
    <tableColumn id="2" name="Dimensión"/>
    <tableColumn id="3" name="Peso Dimensión"/>
    <tableColumn id="4" name="Control / Subdimensión"/>
    <tableColumn id="5" name="Pregunta de evaluación"/>
    <tableColumn id="6" name="Criterio para evaluar madurez"/>
    <tableColumn id="7" name="Evidencia solicitada"/>
    <tableColumn id="8" name="Responsable / área a entrevistar"/>
    <tableColumn id="9" name="Aplica"/>
    <tableColumn id="10" name="Criticidad (1-5)"/>
    <tableColumn id="11" name="Nivel asignado (1-5)"/>
    <tableColumn id="12" name="Nivel evidencia (0-4)"/>
    <tableColumn id="13" name="Nivel efectivo"/>
    <tableColumn id="14" name="Score ponderado"/>
    <tableColumn id="15" name="Base ponderada"/>
    <tableColumn id="16" name="Riesgo de brecha"/>
    <tableColumn id="17" name="Bloqueante de madurez"/>
    <tableColumn id="18" name="Estado actual / hallazgo"/>
    <tableColumn id="19" name="Brecha identificada"/>
    <tableColumn id="20" name="Acción recomendada"/>
    <tableColumn id="21" name="Prioridad sugerida"/>
    <tableColumn id="22" name="Responsable sugerido"/>
    <tableColumn id="23" name="Plazo sugerido"/>
    <tableColumn id="24" name="Evidencia de cierre"/>
    <tableColumn id="25" name="Estado del plan"/>
    <tableColumn id="26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menDimensiones" displayName="ResumenDimensiones" ref="A3:I13">
  <tableColumns count="9">
    <tableColumn id="1" name="Dimensión"/>
    <tableColumn id="2" name="Peso"/>
    <tableColumn id="3" name="Ítems aplicables"/>
    <tableColumn id="4" name="Ítems evaluados"/>
    <tableColumn id="5" name="% cobertura"/>
    <tableColumn id="6" name="Score dimensión"/>
    <tableColumn id="7" name="Nivel dimensión"/>
    <tableColumn id="8" name="Brechas críticas/altas"/>
    <tableColumn id="9" name="Observación automát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lanAccionSGPDP" displayName="PlanAccionSGPDP" ref="A4:K84">
  <tableColumns count="11">
    <tableColumn id="1" name="ID"/>
    <tableColumn id="2" name="Dimensión"/>
    <tableColumn id="3" name="Control"/>
    <tableColumn id="4" name="Riesgo"/>
    <tableColumn id="5" name="Prioridad"/>
    <tableColumn id="6" name="Acción recomendada"/>
    <tableColumn id="7" name="Responsable"/>
    <tableColumn id="8" name="Plazo"/>
    <tableColumn id="9" name="Evidencia de cierre"/>
    <tableColumn id="10" name="Estado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sqref="A1:H1"/>
    </sheetView>
  </sheetViews>
  <sheetFormatPr baseColWidth="10" defaultColWidth="8.796875" defaultRowHeight="13.8"/>
  <cols>
    <col min="1" max="1" width="34" customWidth="1"/>
    <col min="2" max="2" width="18" customWidth="1"/>
    <col min="3" max="3" width="2" customWidth="1"/>
    <col min="4" max="4" width="40" customWidth="1"/>
    <col min="5" max="5" width="10" customWidth="1"/>
    <col min="6" max="6" width="12" customWidth="1"/>
    <col min="7" max="7" width="28" customWidth="1"/>
    <col min="8" max="8" width="14" customWidth="1"/>
  </cols>
  <sheetData>
    <row r="1" spans="1:26" ht="17.399999999999999">
      <c r="A1" s="148" t="s">
        <v>555</v>
      </c>
      <c r="B1" s="148"/>
      <c r="C1" s="148"/>
      <c r="D1" s="148"/>
      <c r="E1" s="148"/>
      <c r="F1" s="148"/>
      <c r="G1" s="148"/>
      <c r="H1" s="148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>
      <c r="A2" s="149" t="s">
        <v>0</v>
      </c>
      <c r="B2" s="149"/>
      <c r="C2" s="149"/>
      <c r="D2" s="149"/>
      <c r="E2" s="149"/>
      <c r="F2" s="149"/>
      <c r="G2" s="149"/>
      <c r="H2" s="149"/>
    </row>
    <row r="4" spans="1:26" ht="19.2" customHeight="1">
      <c r="A4" s="11" t="s">
        <v>1</v>
      </c>
      <c r="B4" s="17">
        <f>IFERROR(SUMPRODUCT(Dimensiones!B4:B13,Dimensiones!F4:F13)/SUM(Dimensiones!B4:B13),0)</f>
        <v>0</v>
      </c>
      <c r="C4" s="11"/>
      <c r="D4" s="12" t="s">
        <v>2</v>
      </c>
      <c r="E4" s="12" t="s">
        <v>3</v>
      </c>
      <c r="F4" s="12" t="s">
        <v>4</v>
      </c>
      <c r="G4" s="12" t="s">
        <v>5</v>
      </c>
      <c r="H4" s="12" t="s">
        <v>6</v>
      </c>
    </row>
    <row r="5" spans="1:26" ht="19.2" customHeight="1">
      <c r="A5" s="7" t="s">
        <v>7</v>
      </c>
      <c r="B5" s="18">
        <f>IFERROR(SUM(Dimensiones!D4:D13)/SUM(Dimensiones!C4:C13),0)</f>
        <v>0</v>
      </c>
      <c r="D5" s="2" t="str">
        <f>Dimensiones!A4</f>
        <v>Gobierno y responsabilidad proactiva</v>
      </c>
      <c r="E5" s="6">
        <f>Dimensiones!B4</f>
        <v>0.12</v>
      </c>
      <c r="F5" s="6">
        <f>Dimensiones!F4</f>
        <v>0</v>
      </c>
      <c r="G5" s="2" t="str">
        <f>Dimensiones!G4</f>
        <v>Sin evaluación suficiente</v>
      </c>
      <c r="H5" s="2">
        <f>Dimensiones!H4</f>
        <v>0</v>
      </c>
    </row>
    <row r="6" spans="1:26" ht="19.2" customHeight="1">
      <c r="A6" s="7" t="s">
        <v>8</v>
      </c>
      <c r="B6" s="8">
        <f>IF(B4&lt;0.4,1,IF(B4&lt;0.6,2,IF(B4&lt;0.75,3,IF(B4&lt;0.9,4,5))))</f>
        <v>1</v>
      </c>
      <c r="D6" s="2" t="str">
        <f>Dimensiones!A5</f>
        <v>Inventario, RAT, finalidades y legitimación</v>
      </c>
      <c r="E6" s="6">
        <f>Dimensiones!B5</f>
        <v>0.14000000000000001</v>
      </c>
      <c r="F6" s="6">
        <f>Dimensiones!F5</f>
        <v>0</v>
      </c>
      <c r="G6" s="2" t="str">
        <f>Dimensiones!G5</f>
        <v>Sin evaluación suficiente</v>
      </c>
      <c r="H6" s="2">
        <f>Dimensiones!H5</f>
        <v>0</v>
      </c>
    </row>
    <row r="7" spans="1:26" ht="19.2" customHeight="1">
      <c r="A7" s="7" t="s">
        <v>9</v>
      </c>
      <c r="B7" s="8">
        <f>COUNTIFS(ASSESSMENT!$Q:$Q,"Sí",ASSESSMENT!$M:$M,"&lt;3",ASSESSMENT!$K:$K,"&gt;=1")</f>
        <v>0</v>
      </c>
      <c r="D7" s="2" t="str">
        <f>Dimensiones!A6</f>
        <v>Transparencia e información al titular</v>
      </c>
      <c r="E7" s="6">
        <f>Dimensiones!B6</f>
        <v>0.08</v>
      </c>
      <c r="F7" s="6">
        <f>Dimensiones!F6</f>
        <v>0</v>
      </c>
      <c r="G7" s="2" t="str">
        <f>Dimensiones!G6</f>
        <v>Sin evaluación suficiente</v>
      </c>
      <c r="H7" s="2">
        <f>Dimensiones!H6</f>
        <v>0</v>
      </c>
    </row>
    <row r="8" spans="1:26" ht="19.2" customHeight="1">
      <c r="A8" s="7" t="s">
        <v>10</v>
      </c>
      <c r="B8" s="8">
        <f>COUNTIFS(ASSESSMENT!$P:$P,"Crítico")</f>
        <v>0</v>
      </c>
      <c r="D8" s="2" t="str">
        <f>Dimensiones!A7</f>
        <v>Derechos de titulares</v>
      </c>
      <c r="E8" s="6">
        <f>Dimensiones!B7</f>
        <v>0.08</v>
      </c>
      <c r="F8" s="6">
        <f>Dimensiones!F7</f>
        <v>0</v>
      </c>
      <c r="G8" s="2" t="str">
        <f>Dimensiones!G7</f>
        <v>Sin evaluación suficiente</v>
      </c>
      <c r="H8" s="2">
        <f>Dimensiones!H7</f>
        <v>0</v>
      </c>
    </row>
    <row r="9" spans="1:26" ht="19.2" customHeight="1">
      <c r="A9" s="7" t="s">
        <v>11</v>
      </c>
      <c r="B9" s="8">
        <f>COUNTIFS(ASSESSMENT!$P:$P,"Alto")</f>
        <v>0</v>
      </c>
      <c r="D9" s="2" t="str">
        <f>Dimensiones!A8</f>
        <v>Procesos críticos de comercio y ciclo de vida de datos</v>
      </c>
      <c r="E9" s="6">
        <f>Dimensiones!B8</f>
        <v>0.1</v>
      </c>
      <c r="F9" s="6">
        <f>Dimensiones!F8</f>
        <v>0</v>
      </c>
      <c r="G9" s="2" t="str">
        <f>Dimensiones!G8</f>
        <v>Sin evaluación suficiente</v>
      </c>
      <c r="H9" s="2">
        <f>Dimensiones!H8</f>
        <v>0</v>
      </c>
    </row>
    <row r="10" spans="1:26" ht="19.2" customHeight="1">
      <c r="A10" s="7" t="s">
        <v>12</v>
      </c>
      <c r="B10" s="8">
        <f>COUNTIFS(ASSESSMENT!$J:$J,"&gt;=4",ASSESSMENT!$L:$L,"&lt;2",ASSESSMENT!$I:$I,"Sí",ASSESSMENT!$K:$K,"&gt;=1")</f>
        <v>0</v>
      </c>
      <c r="D10" s="2" t="str">
        <f>Dimensiones!A9</f>
        <v>Encargados, proveedores y transferencias</v>
      </c>
      <c r="E10" s="6">
        <f>Dimensiones!B9</f>
        <v>0.1</v>
      </c>
      <c r="F10" s="6">
        <f>Dimensiones!F9</f>
        <v>0</v>
      </c>
      <c r="G10" s="2" t="str">
        <f>Dimensiones!G9</f>
        <v>Sin evaluación suficiente</v>
      </c>
      <c r="H10" s="2">
        <f>Dimensiones!H9</f>
        <v>0</v>
      </c>
    </row>
    <row r="11" spans="1:26" ht="19.2" customHeight="1">
      <c r="A11" s="7" t="s">
        <v>13</v>
      </c>
      <c r="B11" s="8">
        <f>IF(B5&lt;0.6,0,MIN(B6,IF(B7&gt;0,2,5),IF(B10&gt;0,3,5)))</f>
        <v>0</v>
      </c>
      <c r="D11" s="2" t="str">
        <f>Dimensiones!A10</f>
        <v>Seguridad de datos personales</v>
      </c>
      <c r="E11" s="6">
        <f>Dimensiones!B10</f>
        <v>0.14000000000000001</v>
      </c>
      <c r="F11" s="6">
        <f>Dimensiones!F10</f>
        <v>0</v>
      </c>
      <c r="G11" s="2" t="str">
        <f>Dimensiones!G10</f>
        <v>Sin evaluación suficiente</v>
      </c>
      <c r="H11" s="2">
        <f>Dimensiones!H10</f>
        <v>0</v>
      </c>
    </row>
    <row r="12" spans="1:26" ht="24" customHeight="1">
      <c r="A12" s="7" t="s">
        <v>14</v>
      </c>
      <c r="B12" s="29" t="str">
        <f>IF(B11=0,"Sin evaluación suficiente",IF(B11=1,"Nivel 1 - Inicial / Reactivo",IF(B11=2,"Nivel 2 - Básico / Repetible",IF(B11=3,"Nivel 3 - Definido / Documentado",IF(B11=4,"Nivel 4 - Gestionado / Demostrable","Nivel 5 - Optimizado / Mejora continua")))))</f>
        <v>Sin evaluación suficiente</v>
      </c>
      <c r="D12" s="2" t="str">
        <f>Dimensiones!A11</f>
        <v>Incidentes y vulneraciones</v>
      </c>
      <c r="E12" s="6">
        <f>Dimensiones!B11</f>
        <v>0.08</v>
      </c>
      <c r="F12" s="6">
        <f>Dimensiones!F11</f>
        <v>0</v>
      </c>
      <c r="G12" s="2" t="str">
        <f>Dimensiones!G11</f>
        <v>Sin evaluación suficiente</v>
      </c>
      <c r="H12" s="2">
        <f>Dimensiones!H11</f>
        <v>0</v>
      </c>
    </row>
    <row r="13" spans="1:26" ht="19.2" customHeight="1">
      <c r="D13" s="2" t="str">
        <f>Dimensiones!A12</f>
        <v>Riesgos, EIPD, LIA y privacidad desde el diseño</v>
      </c>
      <c r="E13" s="6">
        <f>Dimensiones!B12</f>
        <v>0.11</v>
      </c>
      <c r="F13" s="6">
        <f>Dimensiones!F12</f>
        <v>0</v>
      </c>
      <c r="G13" s="2" t="str">
        <f>Dimensiones!G12</f>
        <v>Sin evaluación suficiente</v>
      </c>
      <c r="H13" s="2">
        <f>Dimensiones!H12</f>
        <v>0</v>
      </c>
    </row>
    <row r="14" spans="1:26" ht="43.2" customHeight="1">
      <c r="A14" s="150" t="s">
        <v>556</v>
      </c>
      <c r="B14" s="150"/>
      <c r="C14" s="22"/>
      <c r="D14" s="22" t="s">
        <v>15</v>
      </c>
      <c r="E14" s="23">
        <v>0.05</v>
      </c>
      <c r="F14" s="23">
        <f>Dimensiones!F13</f>
        <v>0</v>
      </c>
      <c r="G14" s="22" t="str">
        <f>Dimensiones!G13</f>
        <v>Sin evaluación suficiente</v>
      </c>
      <c r="H14" s="22">
        <f>Dimensiones!H13</f>
        <v>0</v>
      </c>
    </row>
    <row r="16" spans="1:26" ht="6.45" customHeight="1">
      <c r="A16" s="24"/>
      <c r="B16" s="24"/>
      <c r="C16" s="24"/>
      <c r="D16" s="24"/>
      <c r="E16" s="24"/>
      <c r="F16" s="24"/>
      <c r="G16" s="24"/>
      <c r="H16" s="24"/>
    </row>
  </sheetData>
  <mergeCells count="3">
    <mergeCell ref="A1:H1"/>
    <mergeCell ref="A2:H2"/>
    <mergeCell ref="A14:B14"/>
  </mergeCells>
  <conditionalFormatting sqref="F5:F14">
    <cfRule type="dataBar" priority="1">
      <dataBar>
        <cfvo type="min"/>
        <cfvo type="max"/>
        <color rgb="FF70AD47"/>
      </dataBar>
    </cfRule>
  </conditionalFormatting>
  <conditionalFormatting sqref="B4:B11">
    <cfRule type="dataBar" priority="2">
      <dataBar>
        <cfvo type="min"/>
        <cfvo type="max"/>
        <color rgb="FF1F6F8B"/>
      </dataBar>
    </cfRule>
  </conditionalFormatting>
  <conditionalFormatting sqref="F5:F14">
    <cfRule type="dataBar" priority="3">
      <dataBar>
        <cfvo type="min"/>
        <cfvo type="max"/>
        <color rgb="FF70AD47"/>
      </dataBar>
    </cfRule>
  </conditionalFormatting>
  <conditionalFormatting sqref="B4:B11">
    <cfRule type="dataBar" priority="4">
      <dataBar>
        <cfvo type="min"/>
        <cfvo type="max"/>
        <color rgb="FF1F6F8B"/>
      </dataBar>
    </cfRule>
  </conditionalFormatting>
  <conditionalFormatting sqref="F5:F14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B4:B11">
    <cfRule type="dataBar" priority="6">
      <dataBar>
        <cfvo type="min"/>
        <cfvo type="max"/>
        <color rgb="FF1F6F8B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F5:F14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B4:B11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tabSelected="1" topLeftCell="A10" workbookViewId="0">
      <selection activeCell="B15" sqref="B15"/>
    </sheetView>
  </sheetViews>
  <sheetFormatPr baseColWidth="10" defaultColWidth="8.796875" defaultRowHeight="13.8"/>
  <cols>
    <col min="1" max="1" width="6" customWidth="1"/>
    <col min="2" max="2" width="32" customWidth="1"/>
    <col min="3" max="3" width="12" customWidth="1"/>
    <col min="4" max="4" width="32" customWidth="1"/>
    <col min="5" max="6" width="48" customWidth="1"/>
    <col min="7" max="7" width="11.59765625" customWidth="1"/>
    <col min="8" max="8" width="5.8984375" customWidth="1"/>
    <col min="9" max="9" width="7.296875" customWidth="1"/>
    <col min="10" max="10" width="4.5" customWidth="1"/>
    <col min="11" max="12" width="14" customWidth="1"/>
    <col min="13" max="17" width="16" customWidth="1"/>
    <col min="18" max="20" width="42" customWidth="1"/>
    <col min="21" max="26" width="22" customWidth="1"/>
  </cols>
  <sheetData>
    <row r="1" spans="1:26" ht="17.399999999999999">
      <c r="A1" s="148" t="s">
        <v>557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spans="1:26" ht="14.4">
      <c r="A2" s="151" t="s">
        <v>558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spans="1:26">
      <c r="A3" s="152" t="s">
        <v>559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</row>
    <row r="4" spans="1:26" ht="96.6">
      <c r="A4" s="22" t="s">
        <v>16</v>
      </c>
      <c r="B4" s="22" t="s">
        <v>17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96.6">
      <c r="A5" s="22" t="s">
        <v>18</v>
      </c>
      <c r="B5" s="22" t="s">
        <v>560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38.4" customHeight="1">
      <c r="A6" s="13" t="s">
        <v>19</v>
      </c>
      <c r="B6" s="13" t="s">
        <v>2</v>
      </c>
      <c r="C6" s="13" t="s">
        <v>20</v>
      </c>
      <c r="D6" s="13" t="s">
        <v>21</v>
      </c>
      <c r="E6" s="13" t="s">
        <v>22</v>
      </c>
      <c r="F6" s="13" t="s">
        <v>23</v>
      </c>
      <c r="G6" s="13" t="s">
        <v>24</v>
      </c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29</v>
      </c>
      <c r="M6" s="13" t="s">
        <v>30</v>
      </c>
      <c r="N6" s="13" t="s">
        <v>31</v>
      </c>
      <c r="O6" s="13" t="s">
        <v>32</v>
      </c>
      <c r="P6" s="13" t="s">
        <v>33</v>
      </c>
      <c r="Q6" s="13" t="s">
        <v>34</v>
      </c>
      <c r="R6" s="13" t="s">
        <v>35</v>
      </c>
      <c r="S6" s="13" t="s">
        <v>36</v>
      </c>
      <c r="T6" s="13" t="s">
        <v>37</v>
      </c>
      <c r="U6" s="13" t="s">
        <v>38</v>
      </c>
      <c r="V6" s="13" t="s">
        <v>39</v>
      </c>
      <c r="W6" s="13" t="s">
        <v>40</v>
      </c>
      <c r="X6" s="13" t="s">
        <v>41</v>
      </c>
      <c r="Y6" s="13" t="s">
        <v>42</v>
      </c>
      <c r="Z6" s="13" t="s">
        <v>43</v>
      </c>
    </row>
    <row r="7" spans="1:26" ht="46.5" customHeight="1">
      <c r="A7" s="3">
        <v>1</v>
      </c>
      <c r="B7" s="3" t="s">
        <v>44</v>
      </c>
      <c r="C7" s="21">
        <v>0.12</v>
      </c>
      <c r="D7" s="3" t="s">
        <v>561</v>
      </c>
      <c r="E7" s="3" t="s">
        <v>562</v>
      </c>
      <c r="F7" s="3" t="s">
        <v>563</v>
      </c>
      <c r="G7" s="3" t="s">
        <v>45</v>
      </c>
      <c r="H7" s="3" t="s">
        <v>46</v>
      </c>
      <c r="I7" s="3" t="s">
        <v>47</v>
      </c>
      <c r="J7" s="3">
        <v>5</v>
      </c>
      <c r="K7" s="5"/>
      <c r="L7" s="5"/>
      <c r="M7" s="3" t="str">
        <f t="shared" ref="M7:M38" si="0">IF(I7="No","N/A",IF(OR(K7="",L7=""),"",MIN(K7,L7+1)))</f>
        <v/>
      </c>
      <c r="N7" s="4">
        <f t="shared" ref="N7:N38" si="1">IF(OR(I7="No",M7="",M7="N/A"),0,(M7/5)*J7)</f>
        <v>0</v>
      </c>
      <c r="O7" s="4">
        <f t="shared" ref="O7:O38" si="2">IF(I7="Sí",J7,0)</f>
        <v>5</v>
      </c>
      <c r="P7" s="3" t="str">
        <f t="shared" ref="P7:P38" si="3">IF(I7="No","No aplica",IF(M7="","Pendiente",IF((5-M7)*J7&gt;=15,"Crítico",IF((5-M7)*J7&gt;=9,"Alto",IF((5-M7)*J7&gt;=5,"Medio","Bajo")))))</f>
        <v>Pendiente</v>
      </c>
      <c r="Q7" s="3" t="s">
        <v>47</v>
      </c>
      <c r="R7" s="3"/>
      <c r="S7" s="3"/>
      <c r="T7" s="3" t="s">
        <v>48</v>
      </c>
      <c r="U7" s="3" t="str">
        <f t="shared" ref="U7:U38" si="4">IF(P7="Crítico","Crítica",IF(P7="Alto","Alta",IF(P7="Medio","Media",IF(P7="Bajo","Baja","Pendiente"))))</f>
        <v>Pendiente</v>
      </c>
      <c r="V7" s="3"/>
      <c r="W7" s="3" t="str">
        <f t="shared" ref="W7:W38" si="5">IF(U7="Crítica","30 días",IF(U7="Alta","60 días",IF(U7="Media","90 días",IF(U7="Baja","180 días","Por definir"))))</f>
        <v>Por definir</v>
      </c>
      <c r="X7" s="3"/>
      <c r="Y7" s="3" t="s">
        <v>487</v>
      </c>
      <c r="Z7" s="3"/>
    </row>
    <row r="8" spans="1:26" ht="38.4" customHeight="1">
      <c r="A8" s="3">
        <v>2</v>
      </c>
      <c r="B8" s="3" t="s">
        <v>44</v>
      </c>
      <c r="C8" s="21">
        <v>0.12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47</v>
      </c>
      <c r="J8" s="3">
        <v>5</v>
      </c>
      <c r="K8" s="5"/>
      <c r="L8" s="5"/>
      <c r="M8" s="3" t="str">
        <f t="shared" si="0"/>
        <v/>
      </c>
      <c r="N8" s="4">
        <f t="shared" si="1"/>
        <v>0</v>
      </c>
      <c r="O8" s="4">
        <f t="shared" si="2"/>
        <v>5</v>
      </c>
      <c r="P8" s="3" t="str">
        <f t="shared" si="3"/>
        <v>Pendiente</v>
      </c>
      <c r="Q8" s="3" t="s">
        <v>47</v>
      </c>
      <c r="R8" s="3"/>
      <c r="S8" s="3"/>
      <c r="T8" s="3" t="s">
        <v>54</v>
      </c>
      <c r="U8" s="3" t="str">
        <f t="shared" si="4"/>
        <v>Pendiente</v>
      </c>
      <c r="V8" s="3"/>
      <c r="W8" s="3" t="str">
        <f t="shared" si="5"/>
        <v>Por definir</v>
      </c>
      <c r="X8" s="3"/>
      <c r="Y8" s="3" t="s">
        <v>487</v>
      </c>
      <c r="Z8" s="3"/>
    </row>
    <row r="9" spans="1:26" ht="38.4" customHeight="1">
      <c r="A9" s="3">
        <v>3</v>
      </c>
      <c r="B9" s="3" t="s">
        <v>44</v>
      </c>
      <c r="C9" s="21">
        <v>0.12</v>
      </c>
      <c r="D9" s="3" t="s">
        <v>564</v>
      </c>
      <c r="E9" s="3" t="s">
        <v>565</v>
      </c>
      <c r="F9" s="3" t="s">
        <v>566</v>
      </c>
      <c r="G9" s="3" t="s">
        <v>567</v>
      </c>
      <c r="H9" s="3" t="s">
        <v>568</v>
      </c>
      <c r="I9" s="3" t="s">
        <v>47</v>
      </c>
      <c r="J9" s="3">
        <v>4</v>
      </c>
      <c r="K9" s="5"/>
      <c r="L9" s="5"/>
      <c r="M9" s="3" t="str">
        <f t="shared" si="0"/>
        <v/>
      </c>
      <c r="N9" s="4">
        <f t="shared" si="1"/>
        <v>0</v>
      </c>
      <c r="O9" s="4">
        <f t="shared" si="2"/>
        <v>4</v>
      </c>
      <c r="P9" s="3" t="str">
        <f t="shared" si="3"/>
        <v>Pendiente</v>
      </c>
      <c r="Q9" s="3" t="s">
        <v>55</v>
      </c>
      <c r="R9" s="3"/>
      <c r="S9" s="3"/>
      <c r="T9" s="3" t="s">
        <v>569</v>
      </c>
      <c r="U9" s="3" t="str">
        <f t="shared" si="4"/>
        <v>Pendiente</v>
      </c>
      <c r="V9" s="3"/>
      <c r="W9" s="3" t="str">
        <f t="shared" si="5"/>
        <v>Por definir</v>
      </c>
      <c r="X9" s="3"/>
      <c r="Y9" s="3" t="s">
        <v>487</v>
      </c>
      <c r="Z9" s="3"/>
    </row>
    <row r="10" spans="1:26" ht="38.4" customHeight="1">
      <c r="A10" s="3">
        <v>4</v>
      </c>
      <c r="B10" s="3" t="s">
        <v>44</v>
      </c>
      <c r="C10" s="21">
        <v>0.12</v>
      </c>
      <c r="D10" s="3" t="s">
        <v>570</v>
      </c>
      <c r="E10" s="3" t="s">
        <v>571</v>
      </c>
      <c r="F10" s="3" t="s">
        <v>572</v>
      </c>
      <c r="G10" s="3" t="s">
        <v>573</v>
      </c>
      <c r="H10" s="3" t="s">
        <v>574</v>
      </c>
      <c r="I10" s="3" t="s">
        <v>47</v>
      </c>
      <c r="J10" s="3">
        <v>4</v>
      </c>
      <c r="K10" s="5"/>
      <c r="L10" s="5"/>
      <c r="M10" s="3" t="str">
        <f t="shared" si="0"/>
        <v/>
      </c>
      <c r="N10" s="4">
        <f t="shared" si="1"/>
        <v>0</v>
      </c>
      <c r="O10" s="4">
        <f t="shared" si="2"/>
        <v>4</v>
      </c>
      <c r="P10" s="3" t="str">
        <f t="shared" si="3"/>
        <v>Pendiente</v>
      </c>
      <c r="Q10" s="3" t="s">
        <v>55</v>
      </c>
      <c r="R10" s="3"/>
      <c r="S10" s="3"/>
      <c r="T10" s="3" t="s">
        <v>575</v>
      </c>
      <c r="U10" s="3" t="str">
        <f t="shared" si="4"/>
        <v>Pendiente</v>
      </c>
      <c r="V10" s="3"/>
      <c r="W10" s="3" t="str">
        <f t="shared" si="5"/>
        <v>Por definir</v>
      </c>
      <c r="X10" s="3"/>
      <c r="Y10" s="3" t="s">
        <v>487</v>
      </c>
      <c r="Z10" s="3"/>
    </row>
    <row r="11" spans="1:26" ht="38.4" customHeight="1">
      <c r="A11" s="3">
        <v>5</v>
      </c>
      <c r="B11" s="3" t="s">
        <v>44</v>
      </c>
      <c r="C11" s="21">
        <v>0.12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47</v>
      </c>
      <c r="J11" s="3">
        <v>4</v>
      </c>
      <c r="K11" s="5"/>
      <c r="L11" s="5"/>
      <c r="M11" s="3" t="str">
        <f t="shared" si="0"/>
        <v/>
      </c>
      <c r="N11" s="4">
        <f t="shared" si="1"/>
        <v>0</v>
      </c>
      <c r="O11" s="4">
        <f t="shared" si="2"/>
        <v>4</v>
      </c>
      <c r="P11" s="3" t="str">
        <f t="shared" si="3"/>
        <v>Pendiente</v>
      </c>
      <c r="Q11" s="3" t="s">
        <v>55</v>
      </c>
      <c r="R11" s="3"/>
      <c r="S11" s="3"/>
      <c r="T11" s="3" t="s">
        <v>61</v>
      </c>
      <c r="U11" s="3" t="str">
        <f t="shared" si="4"/>
        <v>Pendiente</v>
      </c>
      <c r="V11" s="3"/>
      <c r="W11" s="3" t="str">
        <f t="shared" si="5"/>
        <v>Por definir</v>
      </c>
      <c r="X11" s="3"/>
      <c r="Y11" s="3" t="s">
        <v>487</v>
      </c>
      <c r="Z11" s="3"/>
    </row>
    <row r="12" spans="1:26" ht="38.4" customHeight="1">
      <c r="A12" s="3">
        <v>6</v>
      </c>
      <c r="B12" s="3" t="s">
        <v>44</v>
      </c>
      <c r="C12" s="21">
        <v>0.12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I12" s="3" t="s">
        <v>47</v>
      </c>
      <c r="J12" s="3">
        <v>3</v>
      </c>
      <c r="K12" s="5"/>
      <c r="L12" s="5"/>
      <c r="M12" s="3" t="str">
        <f t="shared" si="0"/>
        <v/>
      </c>
      <c r="N12" s="4">
        <f t="shared" si="1"/>
        <v>0</v>
      </c>
      <c r="O12" s="4">
        <f t="shared" si="2"/>
        <v>3</v>
      </c>
      <c r="P12" s="3" t="str">
        <f t="shared" si="3"/>
        <v>Pendiente</v>
      </c>
      <c r="Q12" s="3" t="s">
        <v>55</v>
      </c>
      <c r="R12" s="3"/>
      <c r="S12" s="3"/>
      <c r="T12" s="3" t="s">
        <v>67</v>
      </c>
      <c r="U12" s="3" t="str">
        <f t="shared" si="4"/>
        <v>Pendiente</v>
      </c>
      <c r="V12" s="3"/>
      <c r="W12" s="3" t="str">
        <f t="shared" si="5"/>
        <v>Por definir</v>
      </c>
      <c r="X12" s="3"/>
      <c r="Y12" s="3" t="s">
        <v>487</v>
      </c>
      <c r="Z12" s="3"/>
    </row>
    <row r="13" spans="1:26" ht="38.4" customHeight="1">
      <c r="A13" s="3">
        <v>7</v>
      </c>
      <c r="B13" s="3" t="s">
        <v>44</v>
      </c>
      <c r="C13" s="21">
        <v>0.12</v>
      </c>
      <c r="D13" s="3" t="s">
        <v>68</v>
      </c>
      <c r="E13" s="3" t="s">
        <v>69</v>
      </c>
      <c r="F13" s="3" t="s">
        <v>70</v>
      </c>
      <c r="G13" s="3" t="s">
        <v>71</v>
      </c>
      <c r="H13" s="3" t="s">
        <v>72</v>
      </c>
      <c r="I13" s="3" t="s">
        <v>47</v>
      </c>
      <c r="J13" s="3">
        <v>3</v>
      </c>
      <c r="K13" s="5"/>
      <c r="L13" s="5"/>
      <c r="M13" s="3" t="str">
        <f t="shared" si="0"/>
        <v/>
      </c>
      <c r="N13" s="4">
        <f t="shared" si="1"/>
        <v>0</v>
      </c>
      <c r="O13" s="4">
        <f t="shared" si="2"/>
        <v>3</v>
      </c>
      <c r="P13" s="3" t="str">
        <f t="shared" si="3"/>
        <v>Pendiente</v>
      </c>
      <c r="Q13" s="3" t="s">
        <v>55</v>
      </c>
      <c r="R13" s="3"/>
      <c r="S13" s="3"/>
      <c r="T13" s="3" t="s">
        <v>73</v>
      </c>
      <c r="U13" s="3" t="str">
        <f t="shared" si="4"/>
        <v>Pendiente</v>
      </c>
      <c r="V13" s="3"/>
      <c r="W13" s="3" t="str">
        <f t="shared" si="5"/>
        <v>Por definir</v>
      </c>
      <c r="X13" s="3"/>
      <c r="Y13" s="3" t="s">
        <v>487</v>
      </c>
      <c r="Z13" s="3"/>
    </row>
    <row r="14" spans="1:26" ht="38.4" customHeight="1">
      <c r="A14" s="3">
        <v>8</v>
      </c>
      <c r="B14" s="3" t="s">
        <v>44</v>
      </c>
      <c r="C14" s="21">
        <v>0.12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3" t="s">
        <v>47</v>
      </c>
      <c r="J14" s="3">
        <v>3</v>
      </c>
      <c r="K14" s="5"/>
      <c r="L14" s="5"/>
      <c r="M14" s="3" t="str">
        <f t="shared" si="0"/>
        <v/>
      </c>
      <c r="N14" s="4">
        <f t="shared" si="1"/>
        <v>0</v>
      </c>
      <c r="O14" s="4">
        <f t="shared" si="2"/>
        <v>3</v>
      </c>
      <c r="P14" s="3" t="str">
        <f t="shared" si="3"/>
        <v>Pendiente</v>
      </c>
      <c r="Q14" s="3" t="s">
        <v>55</v>
      </c>
      <c r="R14" s="3"/>
      <c r="S14" s="3"/>
      <c r="T14" s="3" t="s">
        <v>79</v>
      </c>
      <c r="U14" s="3" t="str">
        <f t="shared" si="4"/>
        <v>Pendiente</v>
      </c>
      <c r="V14" s="3"/>
      <c r="W14" s="3" t="str">
        <f t="shared" si="5"/>
        <v>Por definir</v>
      </c>
      <c r="X14" s="3"/>
      <c r="Y14" s="3" t="s">
        <v>487</v>
      </c>
      <c r="Z14" s="3"/>
    </row>
    <row r="15" spans="1:26" ht="38.4" customHeight="1">
      <c r="A15" s="3">
        <v>9</v>
      </c>
      <c r="B15" s="3" t="s">
        <v>80</v>
      </c>
      <c r="C15" s="21">
        <v>0.14000000000000001</v>
      </c>
      <c r="D15" s="3" t="s">
        <v>576</v>
      </c>
      <c r="E15" s="3" t="s">
        <v>577</v>
      </c>
      <c r="F15" s="3" t="s">
        <v>578</v>
      </c>
      <c r="G15" s="3" t="s">
        <v>81</v>
      </c>
      <c r="H15" s="3" t="s">
        <v>82</v>
      </c>
      <c r="I15" s="3" t="s">
        <v>47</v>
      </c>
      <c r="J15" s="3">
        <v>5</v>
      </c>
      <c r="K15" s="5"/>
      <c r="L15" s="5"/>
      <c r="M15" s="3" t="str">
        <f t="shared" si="0"/>
        <v/>
      </c>
      <c r="N15" s="4">
        <f t="shared" si="1"/>
        <v>0</v>
      </c>
      <c r="O15" s="4">
        <f t="shared" si="2"/>
        <v>5</v>
      </c>
      <c r="P15" s="3" t="str">
        <f t="shared" si="3"/>
        <v>Pendiente</v>
      </c>
      <c r="Q15" s="3" t="s">
        <v>47</v>
      </c>
      <c r="R15" s="3"/>
      <c r="S15" s="3"/>
      <c r="T15" s="3" t="s">
        <v>83</v>
      </c>
      <c r="U15" s="3" t="str">
        <f t="shared" si="4"/>
        <v>Pendiente</v>
      </c>
      <c r="V15" s="3"/>
      <c r="W15" s="3" t="str">
        <f t="shared" si="5"/>
        <v>Por definir</v>
      </c>
      <c r="X15" s="3"/>
      <c r="Y15" s="3" t="s">
        <v>487</v>
      </c>
      <c r="Z15" s="3"/>
    </row>
    <row r="16" spans="1:26" ht="38.4" customHeight="1">
      <c r="A16" s="3">
        <v>10</v>
      </c>
      <c r="B16" s="3" t="s">
        <v>80</v>
      </c>
      <c r="C16" s="21">
        <v>0.14000000000000001</v>
      </c>
      <c r="D16" s="3" t="s">
        <v>579</v>
      </c>
      <c r="E16" s="3" t="s">
        <v>580</v>
      </c>
      <c r="F16" s="3" t="s">
        <v>581</v>
      </c>
      <c r="G16" s="3" t="s">
        <v>84</v>
      </c>
      <c r="H16" s="3" t="s">
        <v>85</v>
      </c>
      <c r="I16" s="3" t="s">
        <v>47</v>
      </c>
      <c r="J16" s="3">
        <v>5</v>
      </c>
      <c r="K16" s="5"/>
      <c r="L16" s="5"/>
      <c r="M16" s="3" t="str">
        <f t="shared" si="0"/>
        <v/>
      </c>
      <c r="N16" s="4">
        <f t="shared" si="1"/>
        <v>0</v>
      </c>
      <c r="O16" s="4">
        <f t="shared" si="2"/>
        <v>5</v>
      </c>
      <c r="P16" s="3" t="str">
        <f t="shared" si="3"/>
        <v>Pendiente</v>
      </c>
      <c r="Q16" s="3" t="s">
        <v>47</v>
      </c>
      <c r="R16" s="3"/>
      <c r="S16" s="3"/>
      <c r="T16" s="3" t="s">
        <v>86</v>
      </c>
      <c r="U16" s="3" t="str">
        <f t="shared" si="4"/>
        <v>Pendiente</v>
      </c>
      <c r="V16" s="3"/>
      <c r="W16" s="3" t="str">
        <f t="shared" si="5"/>
        <v>Por definir</v>
      </c>
      <c r="X16" s="3"/>
      <c r="Y16" s="3" t="s">
        <v>487</v>
      </c>
      <c r="Z16" s="3"/>
    </row>
    <row r="17" spans="1:26" ht="38.4" customHeight="1">
      <c r="A17" s="3">
        <v>11</v>
      </c>
      <c r="B17" s="3" t="s">
        <v>80</v>
      </c>
      <c r="C17" s="21">
        <v>0.14000000000000001</v>
      </c>
      <c r="D17" s="3" t="s">
        <v>87</v>
      </c>
      <c r="E17" s="3" t="s">
        <v>88</v>
      </c>
      <c r="F17" s="3" t="s">
        <v>89</v>
      </c>
      <c r="G17" s="3" t="s">
        <v>90</v>
      </c>
      <c r="H17" s="3" t="s">
        <v>91</v>
      </c>
      <c r="I17" s="3" t="s">
        <v>47</v>
      </c>
      <c r="J17" s="3">
        <v>5</v>
      </c>
      <c r="K17" s="5"/>
      <c r="L17" s="5"/>
      <c r="M17" s="3" t="str">
        <f t="shared" si="0"/>
        <v/>
      </c>
      <c r="N17" s="4">
        <f t="shared" si="1"/>
        <v>0</v>
      </c>
      <c r="O17" s="4">
        <f t="shared" si="2"/>
        <v>5</v>
      </c>
      <c r="P17" s="3" t="str">
        <f t="shared" si="3"/>
        <v>Pendiente</v>
      </c>
      <c r="Q17" s="3" t="s">
        <v>47</v>
      </c>
      <c r="R17" s="3"/>
      <c r="S17" s="3"/>
      <c r="T17" s="3" t="s">
        <v>92</v>
      </c>
      <c r="U17" s="3" t="str">
        <f t="shared" si="4"/>
        <v>Pendiente</v>
      </c>
      <c r="V17" s="3"/>
      <c r="W17" s="3" t="str">
        <f t="shared" si="5"/>
        <v>Por definir</v>
      </c>
      <c r="X17" s="3"/>
      <c r="Y17" s="3" t="s">
        <v>487</v>
      </c>
      <c r="Z17" s="3"/>
    </row>
    <row r="18" spans="1:26" ht="38.4" customHeight="1">
      <c r="A18" s="3">
        <v>12</v>
      </c>
      <c r="B18" s="3" t="s">
        <v>80</v>
      </c>
      <c r="C18" s="21">
        <v>0.14000000000000001</v>
      </c>
      <c r="D18" s="3" t="s">
        <v>93</v>
      </c>
      <c r="E18" s="3" t="s">
        <v>94</v>
      </c>
      <c r="F18" s="3" t="s">
        <v>95</v>
      </c>
      <c r="G18" s="3" t="s">
        <v>96</v>
      </c>
      <c r="H18" s="3" t="s">
        <v>91</v>
      </c>
      <c r="I18" s="3" t="s">
        <v>47</v>
      </c>
      <c r="J18" s="3">
        <v>5</v>
      </c>
      <c r="K18" s="5"/>
      <c r="L18" s="5"/>
      <c r="M18" s="3" t="str">
        <f t="shared" si="0"/>
        <v/>
      </c>
      <c r="N18" s="4">
        <f t="shared" si="1"/>
        <v>0</v>
      </c>
      <c r="O18" s="4">
        <f t="shared" si="2"/>
        <v>5</v>
      </c>
      <c r="P18" s="3" t="str">
        <f t="shared" si="3"/>
        <v>Pendiente</v>
      </c>
      <c r="Q18" s="3" t="s">
        <v>47</v>
      </c>
      <c r="R18" s="3"/>
      <c r="S18" s="3"/>
      <c r="T18" s="3" t="s">
        <v>97</v>
      </c>
      <c r="U18" s="3" t="str">
        <f t="shared" si="4"/>
        <v>Pendiente</v>
      </c>
      <c r="V18" s="3"/>
      <c r="W18" s="3" t="str">
        <f t="shared" si="5"/>
        <v>Por definir</v>
      </c>
      <c r="X18" s="3"/>
      <c r="Y18" s="3" t="s">
        <v>487</v>
      </c>
      <c r="Z18" s="3"/>
    </row>
    <row r="19" spans="1:26" ht="38.4" customHeight="1">
      <c r="A19" s="3">
        <v>13</v>
      </c>
      <c r="B19" s="3" t="s">
        <v>80</v>
      </c>
      <c r="C19" s="21">
        <v>0.14000000000000001</v>
      </c>
      <c r="D19" s="3" t="s">
        <v>582</v>
      </c>
      <c r="E19" s="3" t="s">
        <v>583</v>
      </c>
      <c r="F19" s="3" t="s">
        <v>584</v>
      </c>
      <c r="G19" s="3" t="s">
        <v>585</v>
      </c>
      <c r="H19" s="3" t="s">
        <v>586</v>
      </c>
      <c r="I19" s="3" t="s">
        <v>47</v>
      </c>
      <c r="J19" s="3">
        <v>5</v>
      </c>
      <c r="K19" s="5"/>
      <c r="L19" s="5"/>
      <c r="M19" s="3" t="str">
        <f t="shared" si="0"/>
        <v/>
      </c>
      <c r="N19" s="4">
        <f t="shared" si="1"/>
        <v>0</v>
      </c>
      <c r="O19" s="4">
        <f t="shared" si="2"/>
        <v>5</v>
      </c>
      <c r="P19" s="3" t="str">
        <f t="shared" si="3"/>
        <v>Pendiente</v>
      </c>
      <c r="Q19" s="3" t="s">
        <v>47</v>
      </c>
      <c r="R19" s="3"/>
      <c r="S19" s="3"/>
      <c r="T19" s="3" t="s">
        <v>98</v>
      </c>
      <c r="U19" s="3" t="str">
        <f t="shared" si="4"/>
        <v>Pendiente</v>
      </c>
      <c r="V19" s="3"/>
      <c r="W19" s="3" t="str">
        <f t="shared" si="5"/>
        <v>Por definir</v>
      </c>
      <c r="X19" s="3"/>
      <c r="Y19" s="3" t="s">
        <v>487</v>
      </c>
      <c r="Z19" s="3"/>
    </row>
    <row r="20" spans="1:26" ht="38.4" customHeight="1">
      <c r="A20" s="3">
        <v>14</v>
      </c>
      <c r="B20" s="3" t="s">
        <v>80</v>
      </c>
      <c r="C20" s="21">
        <v>0.14000000000000001</v>
      </c>
      <c r="D20" s="3" t="s">
        <v>99</v>
      </c>
      <c r="E20" s="3" t="s">
        <v>100</v>
      </c>
      <c r="F20" s="3" t="s">
        <v>101</v>
      </c>
      <c r="G20" s="3" t="s">
        <v>102</v>
      </c>
      <c r="H20" s="3" t="s">
        <v>103</v>
      </c>
      <c r="I20" s="3" t="s">
        <v>47</v>
      </c>
      <c r="J20" s="3">
        <v>4</v>
      </c>
      <c r="K20" s="5"/>
      <c r="L20" s="5"/>
      <c r="M20" s="3" t="str">
        <f t="shared" si="0"/>
        <v/>
      </c>
      <c r="N20" s="4">
        <f t="shared" si="1"/>
        <v>0</v>
      </c>
      <c r="O20" s="4">
        <f t="shared" si="2"/>
        <v>4</v>
      </c>
      <c r="P20" s="3" t="str">
        <f t="shared" si="3"/>
        <v>Pendiente</v>
      </c>
      <c r="Q20" s="3" t="s">
        <v>55</v>
      </c>
      <c r="R20" s="3"/>
      <c r="S20" s="3"/>
      <c r="T20" s="3" t="s">
        <v>104</v>
      </c>
      <c r="U20" s="3" t="str">
        <f t="shared" si="4"/>
        <v>Pendiente</v>
      </c>
      <c r="V20" s="3"/>
      <c r="W20" s="3" t="str">
        <f t="shared" si="5"/>
        <v>Por definir</v>
      </c>
      <c r="X20" s="3"/>
      <c r="Y20" s="3" t="s">
        <v>487</v>
      </c>
      <c r="Z20" s="3"/>
    </row>
    <row r="21" spans="1:26" ht="38.4" customHeight="1">
      <c r="A21" s="3">
        <v>15</v>
      </c>
      <c r="B21" s="3" t="s">
        <v>80</v>
      </c>
      <c r="C21" s="21">
        <v>0.14000000000000001</v>
      </c>
      <c r="D21" s="3" t="s">
        <v>105</v>
      </c>
      <c r="E21" s="3" t="s">
        <v>106</v>
      </c>
      <c r="F21" s="3" t="s">
        <v>107</v>
      </c>
      <c r="G21" s="3" t="s">
        <v>108</v>
      </c>
      <c r="H21" s="3" t="s">
        <v>109</v>
      </c>
      <c r="I21" s="3" t="s">
        <v>47</v>
      </c>
      <c r="J21" s="3">
        <v>4</v>
      </c>
      <c r="K21" s="5"/>
      <c r="L21" s="5"/>
      <c r="M21" s="3" t="str">
        <f t="shared" si="0"/>
        <v/>
      </c>
      <c r="N21" s="4">
        <f t="shared" si="1"/>
        <v>0</v>
      </c>
      <c r="O21" s="4">
        <f t="shared" si="2"/>
        <v>4</v>
      </c>
      <c r="P21" s="3" t="str">
        <f t="shared" si="3"/>
        <v>Pendiente</v>
      </c>
      <c r="Q21" s="3" t="s">
        <v>55</v>
      </c>
      <c r="R21" s="3"/>
      <c r="S21" s="3"/>
      <c r="T21" s="3" t="s">
        <v>110</v>
      </c>
      <c r="U21" s="3" t="str">
        <f t="shared" si="4"/>
        <v>Pendiente</v>
      </c>
      <c r="V21" s="3"/>
      <c r="W21" s="3" t="str">
        <f t="shared" si="5"/>
        <v>Por definir</v>
      </c>
      <c r="X21" s="3"/>
      <c r="Y21" s="3" t="s">
        <v>487</v>
      </c>
      <c r="Z21" s="3"/>
    </row>
    <row r="22" spans="1:26" ht="38.4" customHeight="1">
      <c r="A22" s="3">
        <v>16</v>
      </c>
      <c r="B22" s="3" t="s">
        <v>80</v>
      </c>
      <c r="C22" s="21">
        <v>0.14000000000000001</v>
      </c>
      <c r="D22" s="3" t="s">
        <v>111</v>
      </c>
      <c r="E22" s="3" t="s">
        <v>112</v>
      </c>
      <c r="F22" s="3" t="s">
        <v>113</v>
      </c>
      <c r="G22" s="3" t="s">
        <v>114</v>
      </c>
      <c r="H22" s="3" t="s">
        <v>115</v>
      </c>
      <c r="I22" s="3" t="s">
        <v>47</v>
      </c>
      <c r="J22" s="3">
        <v>4</v>
      </c>
      <c r="K22" s="5"/>
      <c r="L22" s="5"/>
      <c r="M22" s="3" t="str">
        <f t="shared" si="0"/>
        <v/>
      </c>
      <c r="N22" s="4">
        <f t="shared" si="1"/>
        <v>0</v>
      </c>
      <c r="O22" s="4">
        <f t="shared" si="2"/>
        <v>4</v>
      </c>
      <c r="P22" s="3" t="str">
        <f t="shared" si="3"/>
        <v>Pendiente</v>
      </c>
      <c r="Q22" s="3" t="s">
        <v>55</v>
      </c>
      <c r="R22" s="3"/>
      <c r="S22" s="3"/>
      <c r="T22" s="3" t="s">
        <v>116</v>
      </c>
      <c r="U22" s="3" t="str">
        <f t="shared" si="4"/>
        <v>Pendiente</v>
      </c>
      <c r="V22" s="3"/>
      <c r="W22" s="3" t="str">
        <f t="shared" si="5"/>
        <v>Por definir</v>
      </c>
      <c r="X22" s="3"/>
      <c r="Y22" s="3" t="s">
        <v>487</v>
      </c>
      <c r="Z22" s="3"/>
    </row>
    <row r="23" spans="1:26" ht="38.4" customHeight="1">
      <c r="A23" s="3">
        <v>17</v>
      </c>
      <c r="B23" s="3" t="s">
        <v>117</v>
      </c>
      <c r="C23" s="21">
        <v>0.08</v>
      </c>
      <c r="D23" s="3" t="s">
        <v>587</v>
      </c>
      <c r="E23" s="3" t="s">
        <v>588</v>
      </c>
      <c r="F23" s="3" t="s">
        <v>589</v>
      </c>
      <c r="G23" s="3" t="s">
        <v>118</v>
      </c>
      <c r="H23" s="3" t="s">
        <v>119</v>
      </c>
      <c r="I23" s="3" t="s">
        <v>47</v>
      </c>
      <c r="J23" s="3">
        <v>5</v>
      </c>
      <c r="K23" s="5"/>
      <c r="L23" s="5"/>
      <c r="M23" s="3" t="str">
        <f t="shared" si="0"/>
        <v/>
      </c>
      <c r="N23" s="4">
        <f t="shared" si="1"/>
        <v>0</v>
      </c>
      <c r="O23" s="4">
        <f t="shared" si="2"/>
        <v>5</v>
      </c>
      <c r="P23" s="3" t="str">
        <f t="shared" si="3"/>
        <v>Pendiente</v>
      </c>
      <c r="Q23" s="3" t="s">
        <v>47</v>
      </c>
      <c r="R23" s="3"/>
      <c r="S23" s="3"/>
      <c r="T23" s="3" t="s">
        <v>120</v>
      </c>
      <c r="U23" s="3" t="str">
        <f t="shared" si="4"/>
        <v>Pendiente</v>
      </c>
      <c r="V23" s="3"/>
      <c r="W23" s="3" t="str">
        <f t="shared" si="5"/>
        <v>Por definir</v>
      </c>
      <c r="X23" s="3"/>
      <c r="Y23" s="3" t="s">
        <v>487</v>
      </c>
      <c r="Z23" s="3"/>
    </row>
    <row r="24" spans="1:26" ht="38.4" customHeight="1">
      <c r="A24" s="3">
        <v>18</v>
      </c>
      <c r="B24" s="3" t="s">
        <v>117</v>
      </c>
      <c r="C24" s="21">
        <v>0.08</v>
      </c>
      <c r="D24" s="3" t="s">
        <v>121</v>
      </c>
      <c r="E24" s="3" t="s">
        <v>122</v>
      </c>
      <c r="F24" s="3" t="s">
        <v>123</v>
      </c>
      <c r="G24" s="3" t="s">
        <v>124</v>
      </c>
      <c r="H24" s="3" t="s">
        <v>125</v>
      </c>
      <c r="I24" s="3" t="s">
        <v>47</v>
      </c>
      <c r="J24" s="3">
        <v>4</v>
      </c>
      <c r="K24" s="5"/>
      <c r="L24" s="5"/>
      <c r="M24" s="3" t="str">
        <f t="shared" si="0"/>
        <v/>
      </c>
      <c r="N24" s="4">
        <f t="shared" si="1"/>
        <v>0</v>
      </c>
      <c r="O24" s="4">
        <f t="shared" si="2"/>
        <v>4</v>
      </c>
      <c r="P24" s="3" t="str">
        <f t="shared" si="3"/>
        <v>Pendiente</v>
      </c>
      <c r="Q24" s="3" t="s">
        <v>55</v>
      </c>
      <c r="R24" s="3"/>
      <c r="S24" s="3"/>
      <c r="T24" s="3" t="s">
        <v>126</v>
      </c>
      <c r="U24" s="3" t="str">
        <f t="shared" si="4"/>
        <v>Pendiente</v>
      </c>
      <c r="V24" s="3"/>
      <c r="W24" s="3" t="str">
        <f t="shared" si="5"/>
        <v>Por definir</v>
      </c>
      <c r="X24" s="3"/>
      <c r="Y24" s="3" t="s">
        <v>487</v>
      </c>
      <c r="Z24" s="3"/>
    </row>
    <row r="25" spans="1:26" ht="38.4" customHeight="1">
      <c r="A25" s="3">
        <v>19</v>
      </c>
      <c r="B25" s="3" t="s">
        <v>117</v>
      </c>
      <c r="C25" s="21">
        <v>0.08</v>
      </c>
      <c r="D25" s="3" t="s">
        <v>127</v>
      </c>
      <c r="E25" s="3" t="s">
        <v>128</v>
      </c>
      <c r="F25" s="3" t="s">
        <v>129</v>
      </c>
      <c r="G25" s="3" t="s">
        <v>130</v>
      </c>
      <c r="H25" s="3" t="s">
        <v>131</v>
      </c>
      <c r="I25" s="3" t="s">
        <v>47</v>
      </c>
      <c r="J25" s="3">
        <v>3</v>
      </c>
      <c r="K25" s="5"/>
      <c r="L25" s="5"/>
      <c r="M25" s="3" t="str">
        <f t="shared" si="0"/>
        <v/>
      </c>
      <c r="N25" s="4">
        <f t="shared" si="1"/>
        <v>0</v>
      </c>
      <c r="O25" s="4">
        <f t="shared" si="2"/>
        <v>3</v>
      </c>
      <c r="P25" s="3" t="str">
        <f t="shared" si="3"/>
        <v>Pendiente</v>
      </c>
      <c r="Q25" s="3" t="s">
        <v>55</v>
      </c>
      <c r="R25" s="3"/>
      <c r="S25" s="3"/>
      <c r="T25" s="3" t="s">
        <v>132</v>
      </c>
      <c r="U25" s="3" t="str">
        <f t="shared" si="4"/>
        <v>Pendiente</v>
      </c>
      <c r="V25" s="3"/>
      <c r="W25" s="3" t="str">
        <f t="shared" si="5"/>
        <v>Por definir</v>
      </c>
      <c r="X25" s="3"/>
      <c r="Y25" s="3" t="s">
        <v>487</v>
      </c>
      <c r="Z25" s="3"/>
    </row>
    <row r="26" spans="1:26" ht="38.4" customHeight="1">
      <c r="A26" s="3">
        <v>20</v>
      </c>
      <c r="B26" s="3" t="s">
        <v>117</v>
      </c>
      <c r="C26" s="21">
        <v>0.08</v>
      </c>
      <c r="D26" s="3" t="s">
        <v>133</v>
      </c>
      <c r="E26" s="3" t="s">
        <v>134</v>
      </c>
      <c r="F26" s="3" t="s">
        <v>135</v>
      </c>
      <c r="G26" s="3" t="s">
        <v>136</v>
      </c>
      <c r="H26" s="3" t="s">
        <v>137</v>
      </c>
      <c r="I26" s="3" t="s">
        <v>47</v>
      </c>
      <c r="J26" s="3">
        <v>5</v>
      </c>
      <c r="K26" s="5"/>
      <c r="L26" s="5"/>
      <c r="M26" s="3" t="str">
        <f t="shared" si="0"/>
        <v/>
      </c>
      <c r="N26" s="4">
        <f t="shared" si="1"/>
        <v>0</v>
      </c>
      <c r="O26" s="4">
        <f t="shared" si="2"/>
        <v>5</v>
      </c>
      <c r="P26" s="3" t="str">
        <f t="shared" si="3"/>
        <v>Pendiente</v>
      </c>
      <c r="Q26" s="3" t="s">
        <v>47</v>
      </c>
      <c r="R26" s="3"/>
      <c r="S26" s="3"/>
      <c r="T26" s="3" t="s">
        <v>138</v>
      </c>
      <c r="U26" s="3" t="str">
        <f t="shared" si="4"/>
        <v>Pendiente</v>
      </c>
      <c r="V26" s="3"/>
      <c r="W26" s="3" t="str">
        <f t="shared" si="5"/>
        <v>Por definir</v>
      </c>
      <c r="X26" s="3"/>
      <c r="Y26" s="3" t="s">
        <v>487</v>
      </c>
      <c r="Z26" s="3"/>
    </row>
    <row r="27" spans="1:26" ht="38.4" customHeight="1">
      <c r="A27" s="3">
        <v>21</v>
      </c>
      <c r="B27" s="3" t="s">
        <v>117</v>
      </c>
      <c r="C27" s="21">
        <v>0.08</v>
      </c>
      <c r="D27" s="3" t="s">
        <v>139</v>
      </c>
      <c r="E27" s="3" t="s">
        <v>140</v>
      </c>
      <c r="F27" s="3" t="s">
        <v>141</v>
      </c>
      <c r="G27" s="3" t="s">
        <v>142</v>
      </c>
      <c r="H27" s="3" t="s">
        <v>143</v>
      </c>
      <c r="I27" s="3" t="s">
        <v>47</v>
      </c>
      <c r="J27" s="3">
        <v>4</v>
      </c>
      <c r="K27" s="5"/>
      <c r="L27" s="5"/>
      <c r="M27" s="3" t="str">
        <f t="shared" si="0"/>
        <v/>
      </c>
      <c r="N27" s="4">
        <f t="shared" si="1"/>
        <v>0</v>
      </c>
      <c r="O27" s="4">
        <f t="shared" si="2"/>
        <v>4</v>
      </c>
      <c r="P27" s="3" t="str">
        <f t="shared" si="3"/>
        <v>Pendiente</v>
      </c>
      <c r="Q27" s="3" t="s">
        <v>55</v>
      </c>
      <c r="R27" s="3"/>
      <c r="S27" s="3"/>
      <c r="T27" s="3" t="s">
        <v>144</v>
      </c>
      <c r="U27" s="3" t="str">
        <f t="shared" si="4"/>
        <v>Pendiente</v>
      </c>
      <c r="V27" s="3"/>
      <c r="W27" s="3" t="str">
        <f t="shared" si="5"/>
        <v>Por definir</v>
      </c>
      <c r="X27" s="3"/>
      <c r="Y27" s="3" t="s">
        <v>487</v>
      </c>
      <c r="Z27" s="3"/>
    </row>
    <row r="28" spans="1:26" ht="38.4" customHeight="1">
      <c r="A28" s="3">
        <v>22</v>
      </c>
      <c r="B28" s="3" t="s">
        <v>117</v>
      </c>
      <c r="C28" s="21">
        <v>0.08</v>
      </c>
      <c r="D28" s="3" t="s">
        <v>145</v>
      </c>
      <c r="E28" s="3" t="s">
        <v>146</v>
      </c>
      <c r="F28" s="3" t="s">
        <v>147</v>
      </c>
      <c r="G28" s="3" t="s">
        <v>148</v>
      </c>
      <c r="H28" s="3" t="s">
        <v>149</v>
      </c>
      <c r="I28" s="3" t="s">
        <v>47</v>
      </c>
      <c r="J28" s="3">
        <v>4</v>
      </c>
      <c r="K28" s="5"/>
      <c r="L28" s="5"/>
      <c r="M28" s="3" t="str">
        <f t="shared" si="0"/>
        <v/>
      </c>
      <c r="N28" s="4">
        <f t="shared" si="1"/>
        <v>0</v>
      </c>
      <c r="O28" s="4">
        <f t="shared" si="2"/>
        <v>4</v>
      </c>
      <c r="P28" s="3" t="str">
        <f t="shared" si="3"/>
        <v>Pendiente</v>
      </c>
      <c r="Q28" s="3" t="s">
        <v>55</v>
      </c>
      <c r="R28" s="3"/>
      <c r="S28" s="3"/>
      <c r="T28" s="3" t="s">
        <v>150</v>
      </c>
      <c r="U28" s="3" t="str">
        <f t="shared" si="4"/>
        <v>Pendiente</v>
      </c>
      <c r="V28" s="3"/>
      <c r="W28" s="3" t="str">
        <f t="shared" si="5"/>
        <v>Por definir</v>
      </c>
      <c r="X28" s="3"/>
      <c r="Y28" s="3" t="s">
        <v>487</v>
      </c>
      <c r="Z28" s="3"/>
    </row>
    <row r="29" spans="1:26" ht="38.4" customHeight="1">
      <c r="A29" s="3">
        <v>23</v>
      </c>
      <c r="B29" s="3" t="s">
        <v>117</v>
      </c>
      <c r="C29" s="21">
        <v>0.08</v>
      </c>
      <c r="D29" s="3" t="s">
        <v>151</v>
      </c>
      <c r="E29" s="3" t="s">
        <v>152</v>
      </c>
      <c r="F29" s="3" t="s">
        <v>153</v>
      </c>
      <c r="G29" s="3" t="s">
        <v>154</v>
      </c>
      <c r="H29" s="3" t="s">
        <v>155</v>
      </c>
      <c r="I29" s="3" t="s">
        <v>47</v>
      </c>
      <c r="J29" s="3">
        <v>4</v>
      </c>
      <c r="K29" s="5"/>
      <c r="L29" s="5"/>
      <c r="M29" s="3" t="str">
        <f t="shared" si="0"/>
        <v/>
      </c>
      <c r="N29" s="4">
        <f t="shared" si="1"/>
        <v>0</v>
      </c>
      <c r="O29" s="4">
        <f t="shared" si="2"/>
        <v>4</v>
      </c>
      <c r="P29" s="3" t="str">
        <f t="shared" si="3"/>
        <v>Pendiente</v>
      </c>
      <c r="Q29" s="3" t="s">
        <v>55</v>
      </c>
      <c r="R29" s="3"/>
      <c r="S29" s="3"/>
      <c r="T29" s="3" t="s">
        <v>156</v>
      </c>
      <c r="U29" s="3" t="str">
        <f t="shared" si="4"/>
        <v>Pendiente</v>
      </c>
      <c r="V29" s="3"/>
      <c r="W29" s="3" t="str">
        <f t="shared" si="5"/>
        <v>Por definir</v>
      </c>
      <c r="X29" s="3"/>
      <c r="Y29" s="3" t="s">
        <v>487</v>
      </c>
      <c r="Z29" s="3"/>
    </row>
    <row r="30" spans="1:26" ht="38.4" customHeight="1">
      <c r="A30" s="3">
        <v>24</v>
      </c>
      <c r="B30" s="3" t="s">
        <v>117</v>
      </c>
      <c r="C30" s="21">
        <v>0.08</v>
      </c>
      <c r="D30" s="3" t="s">
        <v>157</v>
      </c>
      <c r="E30" s="3" t="s">
        <v>158</v>
      </c>
      <c r="F30" s="3" t="s">
        <v>159</v>
      </c>
      <c r="G30" s="3" t="s">
        <v>160</v>
      </c>
      <c r="H30" s="3" t="s">
        <v>161</v>
      </c>
      <c r="I30" s="3" t="s">
        <v>47</v>
      </c>
      <c r="J30" s="3">
        <v>3</v>
      </c>
      <c r="K30" s="5"/>
      <c r="L30" s="5"/>
      <c r="M30" s="3" t="str">
        <f t="shared" si="0"/>
        <v/>
      </c>
      <c r="N30" s="4">
        <f t="shared" si="1"/>
        <v>0</v>
      </c>
      <c r="O30" s="4">
        <f t="shared" si="2"/>
        <v>3</v>
      </c>
      <c r="P30" s="3" t="str">
        <f t="shared" si="3"/>
        <v>Pendiente</v>
      </c>
      <c r="Q30" s="3" t="s">
        <v>55</v>
      </c>
      <c r="R30" s="3"/>
      <c r="S30" s="3"/>
      <c r="T30" s="3" t="s">
        <v>162</v>
      </c>
      <c r="U30" s="3" t="str">
        <f t="shared" si="4"/>
        <v>Pendiente</v>
      </c>
      <c r="V30" s="3"/>
      <c r="W30" s="3" t="str">
        <f t="shared" si="5"/>
        <v>Por definir</v>
      </c>
      <c r="X30" s="3"/>
      <c r="Y30" s="3" t="s">
        <v>487</v>
      </c>
      <c r="Z30" s="3"/>
    </row>
    <row r="31" spans="1:26" ht="38.4" customHeight="1">
      <c r="A31" s="3">
        <v>25</v>
      </c>
      <c r="B31" s="3" t="s">
        <v>163</v>
      </c>
      <c r="C31" s="21">
        <v>0.08</v>
      </c>
      <c r="D31" s="3" t="s">
        <v>164</v>
      </c>
      <c r="E31" s="3" t="s">
        <v>590</v>
      </c>
      <c r="F31" s="3" t="s">
        <v>165</v>
      </c>
      <c r="G31" s="3" t="s">
        <v>166</v>
      </c>
      <c r="H31" s="3" t="s">
        <v>167</v>
      </c>
      <c r="I31" s="3" t="s">
        <v>47</v>
      </c>
      <c r="J31" s="3">
        <v>5</v>
      </c>
      <c r="K31" s="5"/>
      <c r="L31" s="5"/>
      <c r="M31" s="3" t="str">
        <f t="shared" si="0"/>
        <v/>
      </c>
      <c r="N31" s="4">
        <f t="shared" si="1"/>
        <v>0</v>
      </c>
      <c r="O31" s="4">
        <f t="shared" si="2"/>
        <v>5</v>
      </c>
      <c r="P31" s="3" t="str">
        <f t="shared" si="3"/>
        <v>Pendiente</v>
      </c>
      <c r="Q31" s="3" t="s">
        <v>47</v>
      </c>
      <c r="R31" s="3"/>
      <c r="S31" s="3"/>
      <c r="T31" s="3" t="s">
        <v>168</v>
      </c>
      <c r="U31" s="3" t="str">
        <f t="shared" si="4"/>
        <v>Pendiente</v>
      </c>
      <c r="V31" s="3"/>
      <c r="W31" s="3" t="str">
        <f t="shared" si="5"/>
        <v>Por definir</v>
      </c>
      <c r="X31" s="3"/>
      <c r="Y31" s="3" t="s">
        <v>487</v>
      </c>
      <c r="Z31" s="3"/>
    </row>
    <row r="32" spans="1:26" ht="38.4" customHeight="1">
      <c r="A32" s="3">
        <v>26</v>
      </c>
      <c r="B32" s="3" t="s">
        <v>163</v>
      </c>
      <c r="C32" s="21">
        <v>0.08</v>
      </c>
      <c r="D32" s="3" t="s">
        <v>169</v>
      </c>
      <c r="E32" s="3" t="s">
        <v>170</v>
      </c>
      <c r="F32" s="3" t="s">
        <v>171</v>
      </c>
      <c r="G32" s="3" t="s">
        <v>172</v>
      </c>
      <c r="H32" s="3" t="s">
        <v>149</v>
      </c>
      <c r="I32" s="3" t="s">
        <v>47</v>
      </c>
      <c r="J32" s="3">
        <v>4</v>
      </c>
      <c r="K32" s="5"/>
      <c r="L32" s="5"/>
      <c r="M32" s="3" t="str">
        <f t="shared" si="0"/>
        <v/>
      </c>
      <c r="N32" s="4">
        <f t="shared" si="1"/>
        <v>0</v>
      </c>
      <c r="O32" s="4">
        <f t="shared" si="2"/>
        <v>4</v>
      </c>
      <c r="P32" s="3" t="str">
        <f t="shared" si="3"/>
        <v>Pendiente</v>
      </c>
      <c r="Q32" s="3" t="s">
        <v>55</v>
      </c>
      <c r="R32" s="3"/>
      <c r="S32" s="3"/>
      <c r="T32" s="3" t="s">
        <v>173</v>
      </c>
      <c r="U32" s="3" t="str">
        <f t="shared" si="4"/>
        <v>Pendiente</v>
      </c>
      <c r="V32" s="3"/>
      <c r="W32" s="3" t="str">
        <f t="shared" si="5"/>
        <v>Por definir</v>
      </c>
      <c r="X32" s="3"/>
      <c r="Y32" s="3" t="s">
        <v>487</v>
      </c>
      <c r="Z32" s="3"/>
    </row>
    <row r="33" spans="1:26" ht="38.4" customHeight="1">
      <c r="A33" s="3">
        <v>27</v>
      </c>
      <c r="B33" s="3" t="s">
        <v>163</v>
      </c>
      <c r="C33" s="21">
        <v>0.08</v>
      </c>
      <c r="D33" s="3" t="s">
        <v>174</v>
      </c>
      <c r="E33" s="3" t="s">
        <v>175</v>
      </c>
      <c r="F33" s="3" t="s">
        <v>176</v>
      </c>
      <c r="G33" s="3" t="s">
        <v>177</v>
      </c>
      <c r="H33" s="3" t="s">
        <v>167</v>
      </c>
      <c r="I33" s="3" t="s">
        <v>47</v>
      </c>
      <c r="J33" s="3">
        <v>5</v>
      </c>
      <c r="K33" s="5"/>
      <c r="L33" s="5"/>
      <c r="M33" s="3" t="str">
        <f t="shared" si="0"/>
        <v/>
      </c>
      <c r="N33" s="4">
        <f t="shared" si="1"/>
        <v>0</v>
      </c>
      <c r="O33" s="4">
        <f t="shared" si="2"/>
        <v>5</v>
      </c>
      <c r="P33" s="3" t="str">
        <f t="shared" si="3"/>
        <v>Pendiente</v>
      </c>
      <c r="Q33" s="3" t="s">
        <v>47</v>
      </c>
      <c r="R33" s="3"/>
      <c r="S33" s="3"/>
      <c r="T33" s="3" t="s">
        <v>178</v>
      </c>
      <c r="U33" s="3" t="str">
        <f t="shared" si="4"/>
        <v>Pendiente</v>
      </c>
      <c r="V33" s="3"/>
      <c r="W33" s="3" t="str">
        <f t="shared" si="5"/>
        <v>Por definir</v>
      </c>
      <c r="X33" s="3"/>
      <c r="Y33" s="3" t="s">
        <v>487</v>
      </c>
      <c r="Z33" s="3"/>
    </row>
    <row r="34" spans="1:26" ht="38.4" customHeight="1">
      <c r="A34" s="3">
        <v>28</v>
      </c>
      <c r="B34" s="3" t="s">
        <v>163</v>
      </c>
      <c r="C34" s="21">
        <v>0.08</v>
      </c>
      <c r="D34" s="3" t="s">
        <v>179</v>
      </c>
      <c r="E34" s="3" t="s">
        <v>180</v>
      </c>
      <c r="F34" s="3" t="s">
        <v>591</v>
      </c>
      <c r="G34" s="3" t="s">
        <v>181</v>
      </c>
      <c r="H34" s="3" t="s">
        <v>182</v>
      </c>
      <c r="I34" s="3" t="s">
        <v>47</v>
      </c>
      <c r="J34" s="3">
        <v>5</v>
      </c>
      <c r="K34" s="5"/>
      <c r="L34" s="5"/>
      <c r="M34" s="3" t="str">
        <f t="shared" si="0"/>
        <v/>
      </c>
      <c r="N34" s="4">
        <f t="shared" si="1"/>
        <v>0</v>
      </c>
      <c r="O34" s="4">
        <f t="shared" si="2"/>
        <v>5</v>
      </c>
      <c r="P34" s="3" t="str">
        <f t="shared" si="3"/>
        <v>Pendiente</v>
      </c>
      <c r="Q34" s="3" t="s">
        <v>47</v>
      </c>
      <c r="R34" s="3"/>
      <c r="S34" s="3"/>
      <c r="T34" s="3" t="s">
        <v>183</v>
      </c>
      <c r="U34" s="3" t="str">
        <f t="shared" si="4"/>
        <v>Pendiente</v>
      </c>
      <c r="V34" s="3"/>
      <c r="W34" s="3" t="str">
        <f t="shared" si="5"/>
        <v>Por definir</v>
      </c>
      <c r="X34" s="3"/>
      <c r="Y34" s="3" t="s">
        <v>487</v>
      </c>
      <c r="Z34" s="3"/>
    </row>
    <row r="35" spans="1:26" ht="38.4" customHeight="1">
      <c r="A35" s="3">
        <v>29</v>
      </c>
      <c r="B35" s="3" t="s">
        <v>163</v>
      </c>
      <c r="C35" s="21">
        <v>0.08</v>
      </c>
      <c r="D35" s="3" t="s">
        <v>184</v>
      </c>
      <c r="E35" s="3" t="s">
        <v>185</v>
      </c>
      <c r="F35" s="3" t="s">
        <v>186</v>
      </c>
      <c r="G35" s="3" t="s">
        <v>187</v>
      </c>
      <c r="H35" s="3" t="s">
        <v>188</v>
      </c>
      <c r="I35" s="3" t="s">
        <v>47</v>
      </c>
      <c r="J35" s="3">
        <v>4</v>
      </c>
      <c r="K35" s="5"/>
      <c r="L35" s="5"/>
      <c r="M35" s="3" t="str">
        <f t="shared" si="0"/>
        <v/>
      </c>
      <c r="N35" s="4">
        <f t="shared" si="1"/>
        <v>0</v>
      </c>
      <c r="O35" s="4">
        <f t="shared" si="2"/>
        <v>4</v>
      </c>
      <c r="P35" s="3" t="str">
        <f t="shared" si="3"/>
        <v>Pendiente</v>
      </c>
      <c r="Q35" s="3" t="s">
        <v>55</v>
      </c>
      <c r="R35" s="3"/>
      <c r="S35" s="3"/>
      <c r="T35" s="3" t="s">
        <v>189</v>
      </c>
      <c r="U35" s="3" t="str">
        <f t="shared" si="4"/>
        <v>Pendiente</v>
      </c>
      <c r="V35" s="3"/>
      <c r="W35" s="3" t="str">
        <f t="shared" si="5"/>
        <v>Por definir</v>
      </c>
      <c r="X35" s="3"/>
      <c r="Y35" s="3" t="s">
        <v>487</v>
      </c>
      <c r="Z35" s="3"/>
    </row>
    <row r="36" spans="1:26" ht="38.4" customHeight="1">
      <c r="A36" s="3">
        <v>30</v>
      </c>
      <c r="B36" s="3" t="s">
        <v>163</v>
      </c>
      <c r="C36" s="21">
        <v>0.08</v>
      </c>
      <c r="D36" s="3" t="s">
        <v>190</v>
      </c>
      <c r="E36" s="3" t="s">
        <v>191</v>
      </c>
      <c r="F36" s="3" t="s">
        <v>192</v>
      </c>
      <c r="G36" s="3" t="s">
        <v>193</v>
      </c>
      <c r="H36" s="3" t="s">
        <v>194</v>
      </c>
      <c r="I36" s="3" t="s">
        <v>47</v>
      </c>
      <c r="J36" s="3">
        <v>3</v>
      </c>
      <c r="K36" s="5"/>
      <c r="L36" s="5"/>
      <c r="M36" s="3" t="str">
        <f t="shared" si="0"/>
        <v/>
      </c>
      <c r="N36" s="4">
        <f t="shared" si="1"/>
        <v>0</v>
      </c>
      <c r="O36" s="4">
        <f t="shared" si="2"/>
        <v>3</v>
      </c>
      <c r="P36" s="3" t="str">
        <f t="shared" si="3"/>
        <v>Pendiente</v>
      </c>
      <c r="Q36" s="3" t="s">
        <v>55</v>
      </c>
      <c r="R36" s="3"/>
      <c r="S36" s="3"/>
      <c r="T36" s="3" t="s">
        <v>195</v>
      </c>
      <c r="U36" s="3" t="str">
        <f t="shared" si="4"/>
        <v>Pendiente</v>
      </c>
      <c r="V36" s="3"/>
      <c r="W36" s="3" t="str">
        <f t="shared" si="5"/>
        <v>Por definir</v>
      </c>
      <c r="X36" s="3"/>
      <c r="Y36" s="3" t="s">
        <v>487</v>
      </c>
      <c r="Z36" s="3"/>
    </row>
    <row r="37" spans="1:26" ht="38.4" customHeight="1">
      <c r="A37" s="3">
        <v>31</v>
      </c>
      <c r="B37" s="3" t="s">
        <v>163</v>
      </c>
      <c r="C37" s="21">
        <v>0.08</v>
      </c>
      <c r="D37" s="3" t="s">
        <v>196</v>
      </c>
      <c r="E37" s="3" t="s">
        <v>197</v>
      </c>
      <c r="F37" s="3" t="s">
        <v>198</v>
      </c>
      <c r="G37" s="3" t="s">
        <v>199</v>
      </c>
      <c r="H37" s="3" t="s">
        <v>200</v>
      </c>
      <c r="I37" s="3" t="s">
        <v>47</v>
      </c>
      <c r="J37" s="3">
        <v>3</v>
      </c>
      <c r="K37" s="5"/>
      <c r="L37" s="5"/>
      <c r="M37" s="3" t="str">
        <f t="shared" si="0"/>
        <v/>
      </c>
      <c r="N37" s="4">
        <f t="shared" si="1"/>
        <v>0</v>
      </c>
      <c r="O37" s="4">
        <f t="shared" si="2"/>
        <v>3</v>
      </c>
      <c r="P37" s="3" t="str">
        <f t="shared" si="3"/>
        <v>Pendiente</v>
      </c>
      <c r="Q37" s="3" t="s">
        <v>55</v>
      </c>
      <c r="R37" s="3"/>
      <c r="S37" s="3"/>
      <c r="T37" s="3" t="s">
        <v>201</v>
      </c>
      <c r="U37" s="3" t="str">
        <f t="shared" si="4"/>
        <v>Pendiente</v>
      </c>
      <c r="V37" s="3"/>
      <c r="W37" s="3" t="str">
        <f t="shared" si="5"/>
        <v>Por definir</v>
      </c>
      <c r="X37" s="3"/>
      <c r="Y37" s="3" t="s">
        <v>487</v>
      </c>
      <c r="Z37" s="3"/>
    </row>
    <row r="38" spans="1:26" ht="38.4" customHeight="1">
      <c r="A38" s="3">
        <v>32</v>
      </c>
      <c r="B38" s="3" t="s">
        <v>163</v>
      </c>
      <c r="C38" s="21">
        <v>0.08</v>
      </c>
      <c r="D38" s="3" t="s">
        <v>202</v>
      </c>
      <c r="E38" s="3" t="s">
        <v>203</v>
      </c>
      <c r="F38" s="3" t="s">
        <v>204</v>
      </c>
      <c r="G38" s="3" t="s">
        <v>205</v>
      </c>
      <c r="H38" s="3" t="s">
        <v>206</v>
      </c>
      <c r="I38" s="3" t="s">
        <v>47</v>
      </c>
      <c r="J38" s="3">
        <v>3</v>
      </c>
      <c r="K38" s="5"/>
      <c r="L38" s="5"/>
      <c r="M38" s="3" t="str">
        <f t="shared" si="0"/>
        <v/>
      </c>
      <c r="N38" s="4">
        <f t="shared" si="1"/>
        <v>0</v>
      </c>
      <c r="O38" s="4">
        <f t="shared" si="2"/>
        <v>3</v>
      </c>
      <c r="P38" s="3" t="str">
        <f t="shared" si="3"/>
        <v>Pendiente</v>
      </c>
      <c r="Q38" s="3" t="s">
        <v>55</v>
      </c>
      <c r="R38" s="3"/>
      <c r="S38" s="3"/>
      <c r="T38" s="3" t="s">
        <v>207</v>
      </c>
      <c r="U38" s="3" t="str">
        <f t="shared" si="4"/>
        <v>Pendiente</v>
      </c>
      <c r="V38" s="3"/>
      <c r="W38" s="3" t="str">
        <f t="shared" si="5"/>
        <v>Por definir</v>
      </c>
      <c r="X38" s="3"/>
      <c r="Y38" s="3" t="s">
        <v>487</v>
      </c>
      <c r="Z38" s="3"/>
    </row>
    <row r="39" spans="1:26" ht="38.4" customHeight="1">
      <c r="A39" s="3">
        <v>33</v>
      </c>
      <c r="B39" s="3" t="s">
        <v>592</v>
      </c>
      <c r="C39" s="21">
        <v>0.1</v>
      </c>
      <c r="D39" s="3" t="s">
        <v>593</v>
      </c>
      <c r="E39" s="3" t="s">
        <v>594</v>
      </c>
      <c r="F39" s="3" t="s">
        <v>595</v>
      </c>
      <c r="G39" s="3" t="s">
        <v>596</v>
      </c>
      <c r="H39" s="3" t="s">
        <v>597</v>
      </c>
      <c r="I39" s="3" t="s">
        <v>47</v>
      </c>
      <c r="J39" s="3">
        <v>5</v>
      </c>
      <c r="K39" s="5"/>
      <c r="L39" s="5"/>
      <c r="M39" s="3" t="str">
        <f t="shared" ref="M39:M70" si="6">IF(I39="No","N/A",IF(OR(K39="",L39=""),"",MIN(K39,L39+1)))</f>
        <v/>
      </c>
      <c r="N39" s="4">
        <f t="shared" ref="N39:N70" si="7">IF(OR(I39="No",M39="",M39="N/A"),0,(M39/5)*J39)</f>
        <v>0</v>
      </c>
      <c r="O39" s="4">
        <f t="shared" ref="O39:O70" si="8">IF(I39="Sí",J39,0)</f>
        <v>5</v>
      </c>
      <c r="P39" s="3" t="str">
        <f t="shared" ref="P39:P70" si="9">IF(I39="No","No aplica",IF(M39="","Pendiente",IF((5-M39)*J39&gt;=15,"Crítico",IF((5-M39)*J39&gt;=9,"Alto",IF((5-M39)*J39&gt;=5,"Medio","Bajo")))))</f>
        <v>Pendiente</v>
      </c>
      <c r="Q39" s="3" t="s">
        <v>47</v>
      </c>
      <c r="R39" s="3"/>
      <c r="S39" s="3"/>
      <c r="T39" s="3" t="s">
        <v>598</v>
      </c>
      <c r="U39" s="3" t="str">
        <f t="shared" ref="U39:U46" si="10">IF(P39="Crítico","Crítica",IF(P39="Alto","Alta",IF(P39="Medio","Media",IF(P39="Bajo","Baja","Pendiente"))))</f>
        <v>Pendiente</v>
      </c>
      <c r="V39" s="3"/>
      <c r="W39" s="3" t="str">
        <f t="shared" ref="W39:W46" si="11">IF(U39="Crítica","30 días",IF(U39="Alta","60 días",IF(U39="Media","90 días",IF(U39="Baja","180 días","Por definir"))))</f>
        <v>Por definir</v>
      </c>
      <c r="X39" s="3"/>
      <c r="Y39" s="3" t="s">
        <v>487</v>
      </c>
      <c r="Z39" s="3"/>
    </row>
    <row r="40" spans="1:26" ht="38.4" customHeight="1">
      <c r="A40" s="3">
        <v>34</v>
      </c>
      <c r="B40" s="3" t="s">
        <v>592</v>
      </c>
      <c r="C40" s="21">
        <v>0.1</v>
      </c>
      <c r="D40" s="3" t="s">
        <v>599</v>
      </c>
      <c r="E40" s="3" t="s">
        <v>600</v>
      </c>
      <c r="F40" s="3" t="s">
        <v>601</v>
      </c>
      <c r="G40" s="3" t="s">
        <v>602</v>
      </c>
      <c r="H40" s="3" t="s">
        <v>603</v>
      </c>
      <c r="I40" s="3" t="s">
        <v>47</v>
      </c>
      <c r="J40" s="3">
        <v>5</v>
      </c>
      <c r="K40" s="5"/>
      <c r="L40" s="5"/>
      <c r="M40" s="3" t="str">
        <f t="shared" si="6"/>
        <v/>
      </c>
      <c r="N40" s="4">
        <f t="shared" si="7"/>
        <v>0</v>
      </c>
      <c r="O40" s="4">
        <f t="shared" si="8"/>
        <v>5</v>
      </c>
      <c r="P40" s="3" t="str">
        <f t="shared" si="9"/>
        <v>Pendiente</v>
      </c>
      <c r="Q40" s="3" t="s">
        <v>47</v>
      </c>
      <c r="R40" s="3"/>
      <c r="S40" s="3"/>
      <c r="T40" s="3" t="s">
        <v>604</v>
      </c>
      <c r="U40" s="3" t="str">
        <f t="shared" si="10"/>
        <v>Pendiente</v>
      </c>
      <c r="V40" s="3"/>
      <c r="W40" s="3" t="str">
        <f t="shared" si="11"/>
        <v>Por definir</v>
      </c>
      <c r="X40" s="3"/>
      <c r="Y40" s="3" t="s">
        <v>487</v>
      </c>
      <c r="Z40" s="3"/>
    </row>
    <row r="41" spans="1:26" ht="38.4" customHeight="1">
      <c r="A41" s="3">
        <v>35</v>
      </c>
      <c r="B41" s="3" t="s">
        <v>592</v>
      </c>
      <c r="C41" s="21">
        <v>0.1</v>
      </c>
      <c r="D41" s="3" t="s">
        <v>605</v>
      </c>
      <c r="E41" s="3" t="s">
        <v>606</v>
      </c>
      <c r="F41" s="3" t="s">
        <v>607</v>
      </c>
      <c r="G41" s="3" t="s">
        <v>608</v>
      </c>
      <c r="H41" s="3" t="s">
        <v>609</v>
      </c>
      <c r="I41" s="3" t="s">
        <v>47</v>
      </c>
      <c r="J41" s="3">
        <v>5</v>
      </c>
      <c r="K41" s="5"/>
      <c r="L41" s="5"/>
      <c r="M41" s="3" t="str">
        <f t="shared" si="6"/>
        <v/>
      </c>
      <c r="N41" s="4">
        <f t="shared" si="7"/>
        <v>0</v>
      </c>
      <c r="O41" s="4">
        <f t="shared" si="8"/>
        <v>5</v>
      </c>
      <c r="P41" s="3" t="str">
        <f t="shared" si="9"/>
        <v>Pendiente</v>
      </c>
      <c r="Q41" s="3" t="s">
        <v>47</v>
      </c>
      <c r="R41" s="3"/>
      <c r="S41" s="3"/>
      <c r="T41" s="3" t="s">
        <v>610</v>
      </c>
      <c r="U41" s="3" t="str">
        <f t="shared" si="10"/>
        <v>Pendiente</v>
      </c>
      <c r="V41" s="3"/>
      <c r="W41" s="3" t="str">
        <f t="shared" si="11"/>
        <v>Por definir</v>
      </c>
      <c r="X41" s="3"/>
      <c r="Y41" s="3" t="s">
        <v>487</v>
      </c>
      <c r="Z41" s="3"/>
    </row>
    <row r="42" spans="1:26" ht="38.4" customHeight="1">
      <c r="A42" s="3">
        <v>36</v>
      </c>
      <c r="B42" s="3" t="s">
        <v>592</v>
      </c>
      <c r="C42" s="21">
        <v>0.1</v>
      </c>
      <c r="D42" s="3" t="s">
        <v>611</v>
      </c>
      <c r="E42" s="3" t="s">
        <v>612</v>
      </c>
      <c r="F42" s="3" t="s">
        <v>613</v>
      </c>
      <c r="G42" s="3" t="s">
        <v>614</v>
      </c>
      <c r="H42" s="3" t="s">
        <v>615</v>
      </c>
      <c r="I42" s="3" t="s">
        <v>47</v>
      </c>
      <c r="J42" s="3">
        <v>5</v>
      </c>
      <c r="K42" s="5"/>
      <c r="L42" s="5"/>
      <c r="M42" s="3" t="str">
        <f t="shared" si="6"/>
        <v/>
      </c>
      <c r="N42" s="4">
        <f t="shared" si="7"/>
        <v>0</v>
      </c>
      <c r="O42" s="4">
        <f t="shared" si="8"/>
        <v>5</v>
      </c>
      <c r="P42" s="3" t="str">
        <f t="shared" si="9"/>
        <v>Pendiente</v>
      </c>
      <c r="Q42" s="3" t="s">
        <v>47</v>
      </c>
      <c r="R42" s="3"/>
      <c r="S42" s="3"/>
      <c r="T42" s="3" t="s">
        <v>616</v>
      </c>
      <c r="U42" s="3" t="str">
        <f t="shared" si="10"/>
        <v>Pendiente</v>
      </c>
      <c r="V42" s="3"/>
      <c r="W42" s="3" t="str">
        <f t="shared" si="11"/>
        <v>Por definir</v>
      </c>
      <c r="X42" s="3"/>
      <c r="Y42" s="3" t="s">
        <v>487</v>
      </c>
      <c r="Z42" s="3"/>
    </row>
    <row r="43" spans="1:26" ht="38.4" customHeight="1">
      <c r="A43" s="3">
        <v>37</v>
      </c>
      <c r="B43" s="3" t="s">
        <v>592</v>
      </c>
      <c r="C43" s="21">
        <v>0.1</v>
      </c>
      <c r="D43" s="3" t="s">
        <v>617</v>
      </c>
      <c r="E43" s="3" t="s">
        <v>618</v>
      </c>
      <c r="F43" s="3" t="s">
        <v>619</v>
      </c>
      <c r="G43" s="3" t="s">
        <v>620</v>
      </c>
      <c r="H43" s="3" t="s">
        <v>621</v>
      </c>
      <c r="I43" s="3" t="s">
        <v>47</v>
      </c>
      <c r="J43" s="3">
        <v>4</v>
      </c>
      <c r="K43" s="5"/>
      <c r="L43" s="5"/>
      <c r="M43" s="3" t="str">
        <f t="shared" si="6"/>
        <v/>
      </c>
      <c r="N43" s="4">
        <f t="shared" si="7"/>
        <v>0</v>
      </c>
      <c r="O43" s="4">
        <f t="shared" si="8"/>
        <v>4</v>
      </c>
      <c r="P43" s="3" t="str">
        <f t="shared" si="9"/>
        <v>Pendiente</v>
      </c>
      <c r="Q43" s="3" t="s">
        <v>55</v>
      </c>
      <c r="R43" s="3"/>
      <c r="S43" s="3"/>
      <c r="T43" s="3" t="s">
        <v>622</v>
      </c>
      <c r="U43" s="3" t="str">
        <f t="shared" si="10"/>
        <v>Pendiente</v>
      </c>
      <c r="V43" s="3"/>
      <c r="W43" s="3" t="str">
        <f t="shared" si="11"/>
        <v>Por definir</v>
      </c>
      <c r="X43" s="3"/>
      <c r="Y43" s="3" t="s">
        <v>487</v>
      </c>
      <c r="Z43" s="3"/>
    </row>
    <row r="44" spans="1:26" ht="38.4" customHeight="1">
      <c r="A44" s="3">
        <v>38</v>
      </c>
      <c r="B44" s="3" t="s">
        <v>592</v>
      </c>
      <c r="C44" s="21">
        <v>0.1</v>
      </c>
      <c r="D44" s="3" t="s">
        <v>623</v>
      </c>
      <c r="E44" s="3" t="s">
        <v>624</v>
      </c>
      <c r="F44" s="3" t="s">
        <v>625</v>
      </c>
      <c r="G44" s="3" t="s">
        <v>626</v>
      </c>
      <c r="H44" s="3" t="s">
        <v>627</v>
      </c>
      <c r="I44" s="3" t="s">
        <v>47</v>
      </c>
      <c r="J44" s="3">
        <v>4</v>
      </c>
      <c r="K44" s="5"/>
      <c r="L44" s="5"/>
      <c r="M44" s="3" t="str">
        <f t="shared" si="6"/>
        <v/>
      </c>
      <c r="N44" s="4">
        <f t="shared" si="7"/>
        <v>0</v>
      </c>
      <c r="O44" s="4">
        <f t="shared" si="8"/>
        <v>4</v>
      </c>
      <c r="P44" s="3" t="str">
        <f t="shared" si="9"/>
        <v>Pendiente</v>
      </c>
      <c r="Q44" s="3" t="s">
        <v>55</v>
      </c>
      <c r="R44" s="3"/>
      <c r="S44" s="3"/>
      <c r="T44" s="3" t="s">
        <v>628</v>
      </c>
      <c r="U44" s="3" t="str">
        <f t="shared" si="10"/>
        <v>Pendiente</v>
      </c>
      <c r="V44" s="3"/>
      <c r="W44" s="3" t="str">
        <f t="shared" si="11"/>
        <v>Por definir</v>
      </c>
      <c r="X44" s="3"/>
      <c r="Y44" s="3" t="s">
        <v>487</v>
      </c>
      <c r="Z44" s="3"/>
    </row>
    <row r="45" spans="1:26" ht="38.4" customHeight="1">
      <c r="A45" s="3">
        <v>39</v>
      </c>
      <c r="B45" s="3" t="s">
        <v>592</v>
      </c>
      <c r="C45" s="21">
        <v>0.1</v>
      </c>
      <c r="D45" s="3" t="s">
        <v>629</v>
      </c>
      <c r="E45" s="3" t="s">
        <v>630</v>
      </c>
      <c r="F45" s="3" t="s">
        <v>631</v>
      </c>
      <c r="G45" s="3" t="s">
        <v>632</v>
      </c>
      <c r="H45" s="3" t="s">
        <v>633</v>
      </c>
      <c r="I45" s="3" t="s">
        <v>47</v>
      </c>
      <c r="J45" s="3">
        <v>4</v>
      </c>
      <c r="K45" s="5"/>
      <c r="L45" s="5"/>
      <c r="M45" s="3" t="str">
        <f t="shared" si="6"/>
        <v/>
      </c>
      <c r="N45" s="4">
        <f t="shared" si="7"/>
        <v>0</v>
      </c>
      <c r="O45" s="4">
        <f t="shared" si="8"/>
        <v>4</v>
      </c>
      <c r="P45" s="3" t="str">
        <f t="shared" si="9"/>
        <v>Pendiente</v>
      </c>
      <c r="Q45" s="3" t="s">
        <v>55</v>
      </c>
      <c r="R45" s="3"/>
      <c r="S45" s="3"/>
      <c r="T45" s="3" t="s">
        <v>634</v>
      </c>
      <c r="U45" s="3" t="str">
        <f t="shared" si="10"/>
        <v>Pendiente</v>
      </c>
      <c r="V45" s="3"/>
      <c r="W45" s="3" t="str">
        <f t="shared" si="11"/>
        <v>Por definir</v>
      </c>
      <c r="X45" s="3"/>
      <c r="Y45" s="3" t="s">
        <v>487</v>
      </c>
      <c r="Z45" s="3"/>
    </row>
    <row r="46" spans="1:26" ht="38.4" customHeight="1">
      <c r="A46" s="3">
        <v>40</v>
      </c>
      <c r="B46" s="3" t="s">
        <v>592</v>
      </c>
      <c r="C46" s="21">
        <v>0.1</v>
      </c>
      <c r="D46" s="3" t="s">
        <v>635</v>
      </c>
      <c r="E46" s="3" t="s">
        <v>636</v>
      </c>
      <c r="F46" s="3" t="s">
        <v>637</v>
      </c>
      <c r="G46" s="3" t="s">
        <v>638</v>
      </c>
      <c r="H46" s="3" t="s">
        <v>639</v>
      </c>
      <c r="I46" s="3" t="s">
        <v>47</v>
      </c>
      <c r="J46" s="3">
        <v>4</v>
      </c>
      <c r="K46" s="5"/>
      <c r="L46" s="5"/>
      <c r="M46" s="3" t="str">
        <f t="shared" si="6"/>
        <v/>
      </c>
      <c r="N46" s="4">
        <f t="shared" si="7"/>
        <v>0</v>
      </c>
      <c r="O46" s="4">
        <f t="shared" si="8"/>
        <v>4</v>
      </c>
      <c r="P46" s="3" t="str">
        <f t="shared" si="9"/>
        <v>Pendiente</v>
      </c>
      <c r="Q46" s="3" t="s">
        <v>55</v>
      </c>
      <c r="R46" s="3"/>
      <c r="S46" s="3"/>
      <c r="T46" s="3" t="s">
        <v>640</v>
      </c>
      <c r="U46" s="3" t="str">
        <f t="shared" si="10"/>
        <v>Pendiente</v>
      </c>
      <c r="V46" s="3"/>
      <c r="W46" s="3" t="str">
        <f t="shared" si="11"/>
        <v>Por definir</v>
      </c>
      <c r="X46" s="3"/>
      <c r="Y46" s="3" t="s">
        <v>487</v>
      </c>
      <c r="Z46" s="3"/>
    </row>
    <row r="47" spans="1:26" ht="38.4" customHeight="1">
      <c r="A47" s="3">
        <v>41</v>
      </c>
      <c r="B47" s="3" t="s">
        <v>208</v>
      </c>
      <c r="C47" s="21">
        <v>0.1</v>
      </c>
      <c r="D47" s="3" t="s">
        <v>641</v>
      </c>
      <c r="E47" s="3" t="s">
        <v>642</v>
      </c>
      <c r="F47" s="3" t="s">
        <v>643</v>
      </c>
      <c r="G47" s="3" t="s">
        <v>209</v>
      </c>
      <c r="H47" s="3" t="s">
        <v>210</v>
      </c>
      <c r="I47" s="3" t="s">
        <v>47</v>
      </c>
      <c r="J47" s="3">
        <v>5</v>
      </c>
      <c r="K47" s="5"/>
      <c r="L47" s="5"/>
      <c r="M47" s="3" t="str">
        <f t="shared" si="6"/>
        <v/>
      </c>
      <c r="N47" s="4">
        <f t="shared" si="7"/>
        <v>0</v>
      </c>
      <c r="O47" s="4">
        <f t="shared" si="8"/>
        <v>5</v>
      </c>
      <c r="P47" s="3" t="str">
        <f t="shared" si="9"/>
        <v>Pendiente</v>
      </c>
      <c r="Q47" s="3" t="s">
        <v>47</v>
      </c>
      <c r="R47" s="3"/>
      <c r="S47" s="3"/>
      <c r="T47" s="3" t="s">
        <v>211</v>
      </c>
      <c r="U47" s="3" t="str">
        <f t="shared" ref="U47:U86" si="12">IF(P47="Crítico","Crítica",IF(P47="Alto","Alta",IF(P47="Medio","Media",IF(P47="Bajo","Baja","Pendiente"))))</f>
        <v>Pendiente</v>
      </c>
      <c r="V47" s="3"/>
      <c r="W47" s="3" t="str">
        <f t="shared" ref="W47:W86" si="13">IF(U47="Crítica","30 días",IF(U47="Alta","60 días",IF(U47="Media","90 días",IF(U47="Baja","180 días","Por definir"))))</f>
        <v>Por definir</v>
      </c>
      <c r="X47" s="3"/>
      <c r="Y47" s="3" t="s">
        <v>487</v>
      </c>
      <c r="Z47" s="3"/>
    </row>
    <row r="48" spans="1:26" ht="38.4" customHeight="1">
      <c r="A48" s="3">
        <v>42</v>
      </c>
      <c r="B48" s="3" t="s">
        <v>208</v>
      </c>
      <c r="C48" s="21">
        <v>0.1</v>
      </c>
      <c r="D48" s="3" t="s">
        <v>212</v>
      </c>
      <c r="E48" s="3" t="s">
        <v>213</v>
      </c>
      <c r="F48" s="3" t="s">
        <v>214</v>
      </c>
      <c r="G48" s="3" t="s">
        <v>215</v>
      </c>
      <c r="H48" s="3" t="s">
        <v>216</v>
      </c>
      <c r="I48" s="3" t="s">
        <v>47</v>
      </c>
      <c r="J48" s="3">
        <v>5</v>
      </c>
      <c r="K48" s="5"/>
      <c r="L48" s="5"/>
      <c r="M48" s="3" t="str">
        <f t="shared" si="6"/>
        <v/>
      </c>
      <c r="N48" s="4">
        <f t="shared" si="7"/>
        <v>0</v>
      </c>
      <c r="O48" s="4">
        <f t="shared" si="8"/>
        <v>5</v>
      </c>
      <c r="P48" s="3" t="str">
        <f t="shared" si="9"/>
        <v>Pendiente</v>
      </c>
      <c r="Q48" s="3" t="s">
        <v>47</v>
      </c>
      <c r="R48" s="3"/>
      <c r="S48" s="3"/>
      <c r="T48" s="3" t="s">
        <v>217</v>
      </c>
      <c r="U48" s="3" t="str">
        <f t="shared" si="12"/>
        <v>Pendiente</v>
      </c>
      <c r="V48" s="3"/>
      <c r="W48" s="3" t="str">
        <f t="shared" si="13"/>
        <v>Por definir</v>
      </c>
      <c r="X48" s="3"/>
      <c r="Y48" s="3" t="s">
        <v>487</v>
      </c>
      <c r="Z48" s="3"/>
    </row>
    <row r="49" spans="1:26" ht="38.4" customHeight="1">
      <c r="A49" s="3">
        <v>43</v>
      </c>
      <c r="B49" s="3" t="s">
        <v>208</v>
      </c>
      <c r="C49" s="21">
        <v>0.1</v>
      </c>
      <c r="D49" s="3" t="s">
        <v>218</v>
      </c>
      <c r="E49" s="3" t="s">
        <v>644</v>
      </c>
      <c r="F49" s="3" t="s">
        <v>645</v>
      </c>
      <c r="G49" s="3" t="s">
        <v>219</v>
      </c>
      <c r="H49" s="3" t="s">
        <v>220</v>
      </c>
      <c r="I49" s="3" t="s">
        <v>47</v>
      </c>
      <c r="J49" s="3">
        <v>4</v>
      </c>
      <c r="K49" s="5"/>
      <c r="L49" s="5"/>
      <c r="M49" s="3" t="str">
        <f t="shared" si="6"/>
        <v/>
      </c>
      <c r="N49" s="4">
        <f t="shared" si="7"/>
        <v>0</v>
      </c>
      <c r="O49" s="4">
        <f t="shared" si="8"/>
        <v>4</v>
      </c>
      <c r="P49" s="3" t="str">
        <f t="shared" si="9"/>
        <v>Pendiente</v>
      </c>
      <c r="Q49" s="3" t="s">
        <v>55</v>
      </c>
      <c r="R49" s="3"/>
      <c r="S49" s="3"/>
      <c r="T49" s="3" t="s">
        <v>221</v>
      </c>
      <c r="U49" s="3" t="str">
        <f t="shared" si="12"/>
        <v>Pendiente</v>
      </c>
      <c r="V49" s="3"/>
      <c r="W49" s="3" t="str">
        <f t="shared" si="13"/>
        <v>Por definir</v>
      </c>
      <c r="X49" s="3"/>
      <c r="Y49" s="3" t="s">
        <v>487</v>
      </c>
      <c r="Z49" s="3"/>
    </row>
    <row r="50" spans="1:26" ht="38.4" customHeight="1">
      <c r="A50" s="3">
        <v>44</v>
      </c>
      <c r="B50" s="3" t="s">
        <v>208</v>
      </c>
      <c r="C50" s="21">
        <v>0.1</v>
      </c>
      <c r="D50" s="3" t="s">
        <v>222</v>
      </c>
      <c r="E50" s="3" t="s">
        <v>223</v>
      </c>
      <c r="F50" s="3" t="s">
        <v>224</v>
      </c>
      <c r="G50" s="3" t="s">
        <v>225</v>
      </c>
      <c r="H50" s="3" t="s">
        <v>226</v>
      </c>
      <c r="I50" s="3" t="s">
        <v>47</v>
      </c>
      <c r="J50" s="3">
        <v>5</v>
      </c>
      <c r="K50" s="5"/>
      <c r="L50" s="5"/>
      <c r="M50" s="3" t="str">
        <f t="shared" si="6"/>
        <v/>
      </c>
      <c r="N50" s="4">
        <f t="shared" si="7"/>
        <v>0</v>
      </c>
      <c r="O50" s="4">
        <f t="shared" si="8"/>
        <v>5</v>
      </c>
      <c r="P50" s="3" t="str">
        <f t="shared" si="9"/>
        <v>Pendiente</v>
      </c>
      <c r="Q50" s="3" t="s">
        <v>47</v>
      </c>
      <c r="R50" s="3"/>
      <c r="S50" s="3"/>
      <c r="T50" s="3" t="s">
        <v>227</v>
      </c>
      <c r="U50" s="3" t="str">
        <f t="shared" si="12"/>
        <v>Pendiente</v>
      </c>
      <c r="V50" s="3"/>
      <c r="W50" s="3" t="str">
        <f t="shared" si="13"/>
        <v>Por definir</v>
      </c>
      <c r="X50" s="3"/>
      <c r="Y50" s="3" t="s">
        <v>487</v>
      </c>
      <c r="Z50" s="3"/>
    </row>
    <row r="51" spans="1:26" ht="38.4" customHeight="1">
      <c r="A51" s="3">
        <v>45</v>
      </c>
      <c r="B51" s="3" t="s">
        <v>208</v>
      </c>
      <c r="C51" s="21">
        <v>0.1</v>
      </c>
      <c r="D51" s="3" t="s">
        <v>228</v>
      </c>
      <c r="E51" s="3" t="s">
        <v>229</v>
      </c>
      <c r="F51" s="3" t="s">
        <v>230</v>
      </c>
      <c r="G51" s="3" t="s">
        <v>231</v>
      </c>
      <c r="H51" s="3" t="s">
        <v>232</v>
      </c>
      <c r="I51" s="3" t="s">
        <v>47</v>
      </c>
      <c r="J51" s="3">
        <v>4</v>
      </c>
      <c r="K51" s="5"/>
      <c r="L51" s="5"/>
      <c r="M51" s="3" t="str">
        <f t="shared" si="6"/>
        <v/>
      </c>
      <c r="N51" s="4">
        <f t="shared" si="7"/>
        <v>0</v>
      </c>
      <c r="O51" s="4">
        <f t="shared" si="8"/>
        <v>4</v>
      </c>
      <c r="P51" s="3" t="str">
        <f t="shared" si="9"/>
        <v>Pendiente</v>
      </c>
      <c r="Q51" s="3" t="s">
        <v>55</v>
      </c>
      <c r="R51" s="3"/>
      <c r="S51" s="3"/>
      <c r="T51" s="3" t="s">
        <v>233</v>
      </c>
      <c r="U51" s="3" t="str">
        <f t="shared" si="12"/>
        <v>Pendiente</v>
      </c>
      <c r="V51" s="3"/>
      <c r="W51" s="3" t="str">
        <f t="shared" si="13"/>
        <v>Por definir</v>
      </c>
      <c r="X51" s="3"/>
      <c r="Y51" s="3" t="s">
        <v>487</v>
      </c>
      <c r="Z51" s="3"/>
    </row>
    <row r="52" spans="1:26" ht="38.4" customHeight="1">
      <c r="A52" s="3">
        <v>46</v>
      </c>
      <c r="B52" s="3" t="s">
        <v>208</v>
      </c>
      <c r="C52" s="21">
        <v>0.1</v>
      </c>
      <c r="D52" s="3" t="s">
        <v>234</v>
      </c>
      <c r="E52" s="3" t="s">
        <v>235</v>
      </c>
      <c r="F52" s="3" t="s">
        <v>236</v>
      </c>
      <c r="G52" s="3" t="s">
        <v>237</v>
      </c>
      <c r="H52" s="3" t="s">
        <v>238</v>
      </c>
      <c r="I52" s="3" t="s">
        <v>47</v>
      </c>
      <c r="J52" s="3">
        <v>5</v>
      </c>
      <c r="K52" s="5"/>
      <c r="L52" s="5"/>
      <c r="M52" s="3" t="str">
        <f t="shared" si="6"/>
        <v/>
      </c>
      <c r="N52" s="4">
        <f t="shared" si="7"/>
        <v>0</v>
      </c>
      <c r="O52" s="4">
        <f t="shared" si="8"/>
        <v>5</v>
      </c>
      <c r="P52" s="3" t="str">
        <f t="shared" si="9"/>
        <v>Pendiente</v>
      </c>
      <c r="Q52" s="3" t="s">
        <v>47</v>
      </c>
      <c r="R52" s="3"/>
      <c r="S52" s="3"/>
      <c r="T52" s="3" t="s">
        <v>239</v>
      </c>
      <c r="U52" s="3" t="str">
        <f t="shared" si="12"/>
        <v>Pendiente</v>
      </c>
      <c r="V52" s="3"/>
      <c r="W52" s="3" t="str">
        <f t="shared" si="13"/>
        <v>Por definir</v>
      </c>
      <c r="X52" s="3"/>
      <c r="Y52" s="3" t="s">
        <v>487</v>
      </c>
      <c r="Z52" s="3"/>
    </row>
    <row r="53" spans="1:26" ht="38.4" customHeight="1">
      <c r="A53" s="3">
        <v>47</v>
      </c>
      <c r="B53" s="3" t="s">
        <v>208</v>
      </c>
      <c r="C53" s="21">
        <v>0.1</v>
      </c>
      <c r="D53" s="3" t="s">
        <v>240</v>
      </c>
      <c r="E53" s="3" t="s">
        <v>241</v>
      </c>
      <c r="F53" s="3" t="s">
        <v>242</v>
      </c>
      <c r="G53" s="3" t="s">
        <v>243</v>
      </c>
      <c r="H53" s="3" t="s">
        <v>216</v>
      </c>
      <c r="I53" s="3" t="s">
        <v>47</v>
      </c>
      <c r="J53" s="3">
        <v>3</v>
      </c>
      <c r="K53" s="5"/>
      <c r="L53" s="5"/>
      <c r="M53" s="3" t="str">
        <f t="shared" si="6"/>
        <v/>
      </c>
      <c r="N53" s="4">
        <f t="shared" si="7"/>
        <v>0</v>
      </c>
      <c r="O53" s="4">
        <f t="shared" si="8"/>
        <v>3</v>
      </c>
      <c r="P53" s="3" t="str">
        <f t="shared" si="9"/>
        <v>Pendiente</v>
      </c>
      <c r="Q53" s="3" t="s">
        <v>55</v>
      </c>
      <c r="R53" s="3"/>
      <c r="S53" s="3"/>
      <c r="T53" s="3" t="s">
        <v>244</v>
      </c>
      <c r="U53" s="3" t="str">
        <f t="shared" si="12"/>
        <v>Pendiente</v>
      </c>
      <c r="V53" s="3"/>
      <c r="W53" s="3" t="str">
        <f t="shared" si="13"/>
        <v>Por definir</v>
      </c>
      <c r="X53" s="3"/>
      <c r="Y53" s="3" t="s">
        <v>487</v>
      </c>
      <c r="Z53" s="3"/>
    </row>
    <row r="54" spans="1:26" ht="38.4" customHeight="1">
      <c r="A54" s="3">
        <v>48</v>
      </c>
      <c r="B54" s="3" t="s">
        <v>208</v>
      </c>
      <c r="C54" s="21">
        <v>0.1</v>
      </c>
      <c r="D54" s="3" t="s">
        <v>245</v>
      </c>
      <c r="E54" s="3" t="s">
        <v>246</v>
      </c>
      <c r="F54" s="3" t="s">
        <v>247</v>
      </c>
      <c r="G54" s="3" t="s">
        <v>248</v>
      </c>
      <c r="H54" s="3" t="s">
        <v>249</v>
      </c>
      <c r="I54" s="3" t="s">
        <v>47</v>
      </c>
      <c r="J54" s="3">
        <v>4</v>
      </c>
      <c r="K54" s="5"/>
      <c r="L54" s="5"/>
      <c r="M54" s="3" t="str">
        <f t="shared" si="6"/>
        <v/>
      </c>
      <c r="N54" s="4">
        <f t="shared" si="7"/>
        <v>0</v>
      </c>
      <c r="O54" s="4">
        <f t="shared" si="8"/>
        <v>4</v>
      </c>
      <c r="P54" s="3" t="str">
        <f t="shared" si="9"/>
        <v>Pendiente</v>
      </c>
      <c r="Q54" s="3" t="s">
        <v>55</v>
      </c>
      <c r="R54" s="3"/>
      <c r="S54" s="3"/>
      <c r="T54" s="3" t="s">
        <v>250</v>
      </c>
      <c r="U54" s="3" t="str">
        <f t="shared" si="12"/>
        <v>Pendiente</v>
      </c>
      <c r="V54" s="3"/>
      <c r="W54" s="3" t="str">
        <f t="shared" si="13"/>
        <v>Por definir</v>
      </c>
      <c r="X54" s="3"/>
      <c r="Y54" s="3" t="s">
        <v>487</v>
      </c>
      <c r="Z54" s="3"/>
    </row>
    <row r="55" spans="1:26" ht="38.4" customHeight="1">
      <c r="A55" s="3">
        <v>49</v>
      </c>
      <c r="B55" s="3" t="s">
        <v>251</v>
      </c>
      <c r="C55" s="21">
        <v>0.14000000000000001</v>
      </c>
      <c r="D55" s="3" t="s">
        <v>646</v>
      </c>
      <c r="E55" s="3" t="s">
        <v>647</v>
      </c>
      <c r="F55" s="3" t="s">
        <v>648</v>
      </c>
      <c r="G55" s="3" t="s">
        <v>649</v>
      </c>
      <c r="H55" s="3" t="s">
        <v>650</v>
      </c>
      <c r="I55" s="3" t="s">
        <v>47</v>
      </c>
      <c r="J55" s="3">
        <v>5</v>
      </c>
      <c r="K55" s="5"/>
      <c r="L55" s="5"/>
      <c r="M55" s="3" t="str">
        <f t="shared" si="6"/>
        <v/>
      </c>
      <c r="N55" s="4">
        <f t="shared" si="7"/>
        <v>0</v>
      </c>
      <c r="O55" s="4">
        <f t="shared" si="8"/>
        <v>5</v>
      </c>
      <c r="P55" s="3" t="str">
        <f t="shared" si="9"/>
        <v>Pendiente</v>
      </c>
      <c r="Q55" s="3" t="s">
        <v>47</v>
      </c>
      <c r="R55" s="3"/>
      <c r="S55" s="3"/>
      <c r="T55" s="3" t="s">
        <v>252</v>
      </c>
      <c r="U55" s="3" t="str">
        <f t="shared" si="12"/>
        <v>Pendiente</v>
      </c>
      <c r="V55" s="3"/>
      <c r="W55" s="3" t="str">
        <f t="shared" si="13"/>
        <v>Por definir</v>
      </c>
      <c r="X55" s="3"/>
      <c r="Y55" s="3" t="s">
        <v>487</v>
      </c>
      <c r="Z55" s="3"/>
    </row>
    <row r="56" spans="1:26" ht="38.4" customHeight="1">
      <c r="A56" s="3">
        <v>50</v>
      </c>
      <c r="B56" s="3" t="s">
        <v>251</v>
      </c>
      <c r="C56" s="21">
        <v>0.14000000000000001</v>
      </c>
      <c r="D56" s="3" t="s">
        <v>253</v>
      </c>
      <c r="E56" s="3" t="s">
        <v>254</v>
      </c>
      <c r="F56" s="3" t="s">
        <v>255</v>
      </c>
      <c r="G56" s="3" t="s">
        <v>256</v>
      </c>
      <c r="H56" s="3" t="s">
        <v>257</v>
      </c>
      <c r="I56" s="3" t="s">
        <v>47</v>
      </c>
      <c r="J56" s="3">
        <v>5</v>
      </c>
      <c r="K56" s="5"/>
      <c r="L56" s="5"/>
      <c r="M56" s="3" t="str">
        <f t="shared" si="6"/>
        <v/>
      </c>
      <c r="N56" s="4">
        <f t="shared" si="7"/>
        <v>0</v>
      </c>
      <c r="O56" s="4">
        <f t="shared" si="8"/>
        <v>5</v>
      </c>
      <c r="P56" s="3" t="str">
        <f t="shared" si="9"/>
        <v>Pendiente</v>
      </c>
      <c r="Q56" s="3" t="s">
        <v>47</v>
      </c>
      <c r="R56" s="3"/>
      <c r="S56" s="3"/>
      <c r="T56" s="3" t="s">
        <v>258</v>
      </c>
      <c r="U56" s="3" t="str">
        <f t="shared" si="12"/>
        <v>Pendiente</v>
      </c>
      <c r="V56" s="3"/>
      <c r="W56" s="3" t="str">
        <f t="shared" si="13"/>
        <v>Por definir</v>
      </c>
      <c r="X56" s="3"/>
      <c r="Y56" s="3" t="s">
        <v>487</v>
      </c>
      <c r="Z56" s="3"/>
    </row>
    <row r="57" spans="1:26" ht="38.4" customHeight="1">
      <c r="A57" s="3">
        <v>51</v>
      </c>
      <c r="B57" s="3" t="s">
        <v>251</v>
      </c>
      <c r="C57" s="21">
        <v>0.14000000000000001</v>
      </c>
      <c r="D57" s="3" t="s">
        <v>259</v>
      </c>
      <c r="E57" s="3" t="s">
        <v>260</v>
      </c>
      <c r="F57" s="3" t="s">
        <v>261</v>
      </c>
      <c r="G57" s="3" t="s">
        <v>262</v>
      </c>
      <c r="H57" s="3" t="s">
        <v>263</v>
      </c>
      <c r="I57" s="3" t="s">
        <v>47</v>
      </c>
      <c r="J57" s="3">
        <v>5</v>
      </c>
      <c r="K57" s="5"/>
      <c r="L57" s="5"/>
      <c r="M57" s="3" t="str">
        <f t="shared" si="6"/>
        <v/>
      </c>
      <c r="N57" s="4">
        <f t="shared" si="7"/>
        <v>0</v>
      </c>
      <c r="O57" s="4">
        <f t="shared" si="8"/>
        <v>5</v>
      </c>
      <c r="P57" s="3" t="str">
        <f t="shared" si="9"/>
        <v>Pendiente</v>
      </c>
      <c r="Q57" s="3" t="s">
        <v>47</v>
      </c>
      <c r="R57" s="3"/>
      <c r="S57" s="3"/>
      <c r="T57" s="3" t="s">
        <v>264</v>
      </c>
      <c r="U57" s="3" t="str">
        <f t="shared" si="12"/>
        <v>Pendiente</v>
      </c>
      <c r="V57" s="3"/>
      <c r="W57" s="3" t="str">
        <f t="shared" si="13"/>
        <v>Por definir</v>
      </c>
      <c r="X57" s="3"/>
      <c r="Y57" s="3" t="s">
        <v>487</v>
      </c>
      <c r="Z57" s="3"/>
    </row>
    <row r="58" spans="1:26" ht="38.4" customHeight="1">
      <c r="A58" s="3">
        <v>52</v>
      </c>
      <c r="B58" s="3" t="s">
        <v>251</v>
      </c>
      <c r="C58" s="21">
        <v>0.14000000000000001</v>
      </c>
      <c r="D58" s="3" t="s">
        <v>265</v>
      </c>
      <c r="E58" s="3" t="s">
        <v>266</v>
      </c>
      <c r="F58" s="3" t="s">
        <v>267</v>
      </c>
      <c r="G58" s="3" t="s">
        <v>268</v>
      </c>
      <c r="H58" s="3" t="s">
        <v>269</v>
      </c>
      <c r="I58" s="3" t="s">
        <v>47</v>
      </c>
      <c r="J58" s="3">
        <v>5</v>
      </c>
      <c r="K58" s="5"/>
      <c r="L58" s="5"/>
      <c r="M58" s="3" t="str">
        <f t="shared" si="6"/>
        <v/>
      </c>
      <c r="N58" s="4">
        <f t="shared" si="7"/>
        <v>0</v>
      </c>
      <c r="O58" s="4">
        <f t="shared" si="8"/>
        <v>5</v>
      </c>
      <c r="P58" s="3" t="str">
        <f t="shared" si="9"/>
        <v>Pendiente</v>
      </c>
      <c r="Q58" s="3" t="s">
        <v>47</v>
      </c>
      <c r="R58" s="3"/>
      <c r="S58" s="3"/>
      <c r="T58" s="3" t="s">
        <v>270</v>
      </c>
      <c r="U58" s="3" t="str">
        <f t="shared" si="12"/>
        <v>Pendiente</v>
      </c>
      <c r="V58" s="3"/>
      <c r="W58" s="3" t="str">
        <f t="shared" si="13"/>
        <v>Por definir</v>
      </c>
      <c r="X58" s="3"/>
      <c r="Y58" s="3" t="s">
        <v>487</v>
      </c>
      <c r="Z58" s="3"/>
    </row>
    <row r="59" spans="1:26" ht="38.4" customHeight="1">
      <c r="A59" s="3">
        <v>53</v>
      </c>
      <c r="B59" s="3" t="s">
        <v>251</v>
      </c>
      <c r="C59" s="21">
        <v>0.14000000000000001</v>
      </c>
      <c r="D59" s="3" t="s">
        <v>271</v>
      </c>
      <c r="E59" s="3" t="s">
        <v>272</v>
      </c>
      <c r="F59" s="3" t="s">
        <v>273</v>
      </c>
      <c r="G59" s="3" t="s">
        <v>274</v>
      </c>
      <c r="H59" s="3" t="s">
        <v>263</v>
      </c>
      <c r="I59" s="3" t="s">
        <v>47</v>
      </c>
      <c r="J59" s="3">
        <v>4</v>
      </c>
      <c r="K59" s="5"/>
      <c r="L59" s="5"/>
      <c r="M59" s="3" t="str">
        <f t="shared" si="6"/>
        <v/>
      </c>
      <c r="N59" s="4">
        <f t="shared" si="7"/>
        <v>0</v>
      </c>
      <c r="O59" s="4">
        <f t="shared" si="8"/>
        <v>4</v>
      </c>
      <c r="P59" s="3" t="str">
        <f t="shared" si="9"/>
        <v>Pendiente</v>
      </c>
      <c r="Q59" s="3" t="s">
        <v>55</v>
      </c>
      <c r="R59" s="3"/>
      <c r="S59" s="3"/>
      <c r="T59" s="3" t="s">
        <v>275</v>
      </c>
      <c r="U59" s="3" t="str">
        <f t="shared" si="12"/>
        <v>Pendiente</v>
      </c>
      <c r="V59" s="3"/>
      <c r="W59" s="3" t="str">
        <f t="shared" si="13"/>
        <v>Por definir</v>
      </c>
      <c r="X59" s="3"/>
      <c r="Y59" s="3" t="s">
        <v>487</v>
      </c>
      <c r="Z59" s="3"/>
    </row>
    <row r="60" spans="1:26" ht="38.4" customHeight="1">
      <c r="A60" s="3">
        <v>54</v>
      </c>
      <c r="B60" s="3" t="s">
        <v>251</v>
      </c>
      <c r="C60" s="21">
        <v>0.14000000000000001</v>
      </c>
      <c r="D60" s="3" t="s">
        <v>276</v>
      </c>
      <c r="E60" s="3" t="s">
        <v>277</v>
      </c>
      <c r="F60" s="3" t="s">
        <v>278</v>
      </c>
      <c r="G60" s="3" t="s">
        <v>279</v>
      </c>
      <c r="H60" s="3" t="s">
        <v>280</v>
      </c>
      <c r="I60" s="3" t="s">
        <v>47</v>
      </c>
      <c r="J60" s="3">
        <v>4</v>
      </c>
      <c r="K60" s="5"/>
      <c r="L60" s="5"/>
      <c r="M60" s="3" t="str">
        <f t="shared" si="6"/>
        <v/>
      </c>
      <c r="N60" s="4">
        <f t="shared" si="7"/>
        <v>0</v>
      </c>
      <c r="O60" s="4">
        <f t="shared" si="8"/>
        <v>4</v>
      </c>
      <c r="P60" s="3" t="str">
        <f t="shared" si="9"/>
        <v>Pendiente</v>
      </c>
      <c r="Q60" s="3" t="s">
        <v>55</v>
      </c>
      <c r="R60" s="3"/>
      <c r="S60" s="3"/>
      <c r="T60" s="3" t="s">
        <v>281</v>
      </c>
      <c r="U60" s="3" t="str">
        <f t="shared" si="12"/>
        <v>Pendiente</v>
      </c>
      <c r="V60" s="3"/>
      <c r="W60" s="3" t="str">
        <f t="shared" si="13"/>
        <v>Por definir</v>
      </c>
      <c r="X60" s="3"/>
      <c r="Y60" s="3" t="s">
        <v>487</v>
      </c>
      <c r="Z60" s="3"/>
    </row>
    <row r="61" spans="1:26" ht="38.4" customHeight="1">
      <c r="A61" s="3">
        <v>55</v>
      </c>
      <c r="B61" s="3" t="s">
        <v>251</v>
      </c>
      <c r="C61" s="21">
        <v>0.14000000000000001</v>
      </c>
      <c r="D61" s="3" t="s">
        <v>282</v>
      </c>
      <c r="E61" s="3" t="s">
        <v>283</v>
      </c>
      <c r="F61" s="3" t="s">
        <v>284</v>
      </c>
      <c r="G61" s="3" t="s">
        <v>285</v>
      </c>
      <c r="H61" s="3" t="s">
        <v>263</v>
      </c>
      <c r="I61" s="3" t="s">
        <v>47</v>
      </c>
      <c r="J61" s="3">
        <v>4</v>
      </c>
      <c r="K61" s="5"/>
      <c r="L61" s="5"/>
      <c r="M61" s="3" t="str">
        <f t="shared" si="6"/>
        <v/>
      </c>
      <c r="N61" s="4">
        <f t="shared" si="7"/>
        <v>0</v>
      </c>
      <c r="O61" s="4">
        <f t="shared" si="8"/>
        <v>4</v>
      </c>
      <c r="P61" s="3" t="str">
        <f t="shared" si="9"/>
        <v>Pendiente</v>
      </c>
      <c r="Q61" s="3" t="s">
        <v>55</v>
      </c>
      <c r="R61" s="3"/>
      <c r="S61" s="3"/>
      <c r="T61" s="3" t="s">
        <v>286</v>
      </c>
      <c r="U61" s="3" t="str">
        <f t="shared" si="12"/>
        <v>Pendiente</v>
      </c>
      <c r="V61" s="3"/>
      <c r="W61" s="3" t="str">
        <f t="shared" si="13"/>
        <v>Por definir</v>
      </c>
      <c r="X61" s="3"/>
      <c r="Y61" s="3" t="s">
        <v>487</v>
      </c>
      <c r="Z61" s="3"/>
    </row>
    <row r="62" spans="1:26" ht="38.4" customHeight="1">
      <c r="A62" s="3">
        <v>56</v>
      </c>
      <c r="B62" s="3" t="s">
        <v>251</v>
      </c>
      <c r="C62" s="21">
        <v>0.14000000000000001</v>
      </c>
      <c r="D62" s="3" t="s">
        <v>287</v>
      </c>
      <c r="E62" s="3" t="s">
        <v>288</v>
      </c>
      <c r="F62" s="3" t="s">
        <v>289</v>
      </c>
      <c r="G62" s="3" t="s">
        <v>290</v>
      </c>
      <c r="H62" s="3" t="s">
        <v>291</v>
      </c>
      <c r="I62" s="3" t="s">
        <v>47</v>
      </c>
      <c r="J62" s="3">
        <v>4</v>
      </c>
      <c r="K62" s="5"/>
      <c r="L62" s="5"/>
      <c r="M62" s="3" t="str">
        <f t="shared" si="6"/>
        <v/>
      </c>
      <c r="N62" s="4">
        <f t="shared" si="7"/>
        <v>0</v>
      </c>
      <c r="O62" s="4">
        <f t="shared" si="8"/>
        <v>4</v>
      </c>
      <c r="P62" s="3" t="str">
        <f t="shared" si="9"/>
        <v>Pendiente</v>
      </c>
      <c r="Q62" s="3" t="s">
        <v>55</v>
      </c>
      <c r="R62" s="3"/>
      <c r="S62" s="3"/>
      <c r="T62" s="3" t="s">
        <v>292</v>
      </c>
      <c r="U62" s="3" t="str">
        <f t="shared" si="12"/>
        <v>Pendiente</v>
      </c>
      <c r="V62" s="3"/>
      <c r="W62" s="3" t="str">
        <f t="shared" si="13"/>
        <v>Por definir</v>
      </c>
      <c r="X62" s="3"/>
      <c r="Y62" s="3" t="s">
        <v>487</v>
      </c>
      <c r="Z62" s="3"/>
    </row>
    <row r="63" spans="1:26" ht="38.4" customHeight="1">
      <c r="A63" s="3">
        <v>57</v>
      </c>
      <c r="B63" s="3" t="s">
        <v>293</v>
      </c>
      <c r="C63" s="21">
        <v>0.08</v>
      </c>
      <c r="D63" s="3" t="s">
        <v>294</v>
      </c>
      <c r="E63" s="3" t="s">
        <v>295</v>
      </c>
      <c r="F63" s="3" t="s">
        <v>296</v>
      </c>
      <c r="G63" s="3" t="s">
        <v>297</v>
      </c>
      <c r="H63" s="3" t="s">
        <v>298</v>
      </c>
      <c r="I63" s="3" t="s">
        <v>47</v>
      </c>
      <c r="J63" s="3">
        <v>5</v>
      </c>
      <c r="K63" s="5"/>
      <c r="L63" s="5"/>
      <c r="M63" s="3" t="str">
        <f t="shared" si="6"/>
        <v/>
      </c>
      <c r="N63" s="4">
        <f t="shared" si="7"/>
        <v>0</v>
      </c>
      <c r="O63" s="4">
        <f t="shared" si="8"/>
        <v>5</v>
      </c>
      <c r="P63" s="3" t="str">
        <f t="shared" si="9"/>
        <v>Pendiente</v>
      </c>
      <c r="Q63" s="3" t="s">
        <v>47</v>
      </c>
      <c r="R63" s="3"/>
      <c r="S63" s="3"/>
      <c r="T63" s="3" t="s">
        <v>299</v>
      </c>
      <c r="U63" s="3" t="str">
        <f t="shared" si="12"/>
        <v>Pendiente</v>
      </c>
      <c r="V63" s="3"/>
      <c r="W63" s="3" t="str">
        <f t="shared" si="13"/>
        <v>Por definir</v>
      </c>
      <c r="X63" s="3"/>
      <c r="Y63" s="3" t="s">
        <v>487</v>
      </c>
      <c r="Z63" s="3"/>
    </row>
    <row r="64" spans="1:26" ht="38.4" customHeight="1">
      <c r="A64" s="3">
        <v>58</v>
      </c>
      <c r="B64" s="3" t="s">
        <v>293</v>
      </c>
      <c r="C64" s="21">
        <v>0.08</v>
      </c>
      <c r="D64" s="3" t="s">
        <v>300</v>
      </c>
      <c r="E64" s="3" t="s">
        <v>301</v>
      </c>
      <c r="F64" s="3" t="s">
        <v>302</v>
      </c>
      <c r="G64" s="3" t="s">
        <v>303</v>
      </c>
      <c r="H64" s="3" t="s">
        <v>304</v>
      </c>
      <c r="I64" s="3" t="s">
        <v>47</v>
      </c>
      <c r="J64" s="3">
        <v>5</v>
      </c>
      <c r="K64" s="5"/>
      <c r="L64" s="5"/>
      <c r="M64" s="3" t="str">
        <f t="shared" si="6"/>
        <v/>
      </c>
      <c r="N64" s="4">
        <f t="shared" si="7"/>
        <v>0</v>
      </c>
      <c r="O64" s="4">
        <f t="shared" si="8"/>
        <v>5</v>
      </c>
      <c r="P64" s="3" t="str">
        <f t="shared" si="9"/>
        <v>Pendiente</v>
      </c>
      <c r="Q64" s="3" t="s">
        <v>47</v>
      </c>
      <c r="R64" s="3"/>
      <c r="S64" s="3"/>
      <c r="T64" s="3" t="s">
        <v>305</v>
      </c>
      <c r="U64" s="3" t="str">
        <f t="shared" si="12"/>
        <v>Pendiente</v>
      </c>
      <c r="V64" s="3"/>
      <c r="W64" s="3" t="str">
        <f t="shared" si="13"/>
        <v>Por definir</v>
      </c>
      <c r="X64" s="3"/>
      <c r="Y64" s="3" t="s">
        <v>487</v>
      </c>
      <c r="Z64" s="3"/>
    </row>
    <row r="65" spans="1:26" ht="38.4" customHeight="1">
      <c r="A65" s="3">
        <v>59</v>
      </c>
      <c r="B65" s="3" t="s">
        <v>293</v>
      </c>
      <c r="C65" s="21">
        <v>0.08</v>
      </c>
      <c r="D65" s="3" t="s">
        <v>306</v>
      </c>
      <c r="E65" s="3" t="s">
        <v>307</v>
      </c>
      <c r="F65" s="3" t="s">
        <v>308</v>
      </c>
      <c r="G65" s="3" t="s">
        <v>309</v>
      </c>
      <c r="H65" s="3" t="s">
        <v>310</v>
      </c>
      <c r="I65" s="3" t="s">
        <v>47</v>
      </c>
      <c r="J65" s="3">
        <v>4</v>
      </c>
      <c r="K65" s="5"/>
      <c r="L65" s="5"/>
      <c r="M65" s="3" t="str">
        <f t="shared" si="6"/>
        <v/>
      </c>
      <c r="N65" s="4">
        <f t="shared" si="7"/>
        <v>0</v>
      </c>
      <c r="O65" s="4">
        <f t="shared" si="8"/>
        <v>4</v>
      </c>
      <c r="P65" s="3" t="str">
        <f t="shared" si="9"/>
        <v>Pendiente</v>
      </c>
      <c r="Q65" s="3" t="s">
        <v>55</v>
      </c>
      <c r="R65" s="3"/>
      <c r="S65" s="3"/>
      <c r="T65" s="3" t="s">
        <v>311</v>
      </c>
      <c r="U65" s="3" t="str">
        <f t="shared" si="12"/>
        <v>Pendiente</v>
      </c>
      <c r="V65" s="3"/>
      <c r="W65" s="3" t="str">
        <f t="shared" si="13"/>
        <v>Por definir</v>
      </c>
      <c r="X65" s="3"/>
      <c r="Y65" s="3" t="s">
        <v>487</v>
      </c>
      <c r="Z65" s="3"/>
    </row>
    <row r="66" spans="1:26" ht="38.4" customHeight="1">
      <c r="A66" s="3">
        <v>60</v>
      </c>
      <c r="B66" s="3" t="s">
        <v>293</v>
      </c>
      <c r="C66" s="21">
        <v>0.08</v>
      </c>
      <c r="D66" s="3" t="s">
        <v>312</v>
      </c>
      <c r="E66" s="3" t="s">
        <v>313</v>
      </c>
      <c r="F66" s="3" t="s">
        <v>314</v>
      </c>
      <c r="G66" s="3" t="s">
        <v>315</v>
      </c>
      <c r="H66" s="3" t="s">
        <v>316</v>
      </c>
      <c r="I66" s="3" t="s">
        <v>47</v>
      </c>
      <c r="J66" s="3">
        <v>4</v>
      </c>
      <c r="K66" s="5"/>
      <c r="L66" s="5"/>
      <c r="M66" s="3" t="str">
        <f t="shared" si="6"/>
        <v/>
      </c>
      <c r="N66" s="4">
        <f t="shared" si="7"/>
        <v>0</v>
      </c>
      <c r="O66" s="4">
        <f t="shared" si="8"/>
        <v>4</v>
      </c>
      <c r="P66" s="3" t="str">
        <f t="shared" si="9"/>
        <v>Pendiente</v>
      </c>
      <c r="Q66" s="3" t="s">
        <v>55</v>
      </c>
      <c r="R66" s="3"/>
      <c r="S66" s="3"/>
      <c r="T66" s="3" t="s">
        <v>317</v>
      </c>
      <c r="U66" s="3" t="str">
        <f t="shared" si="12"/>
        <v>Pendiente</v>
      </c>
      <c r="V66" s="3"/>
      <c r="W66" s="3" t="str">
        <f t="shared" si="13"/>
        <v>Por definir</v>
      </c>
      <c r="X66" s="3"/>
      <c r="Y66" s="3" t="s">
        <v>487</v>
      </c>
      <c r="Z66" s="3"/>
    </row>
    <row r="67" spans="1:26" ht="38.4" customHeight="1">
      <c r="A67" s="3">
        <v>61</v>
      </c>
      <c r="B67" s="3" t="s">
        <v>293</v>
      </c>
      <c r="C67" s="21">
        <v>0.08</v>
      </c>
      <c r="D67" s="3" t="s">
        <v>318</v>
      </c>
      <c r="E67" s="3" t="s">
        <v>319</v>
      </c>
      <c r="F67" s="3" t="s">
        <v>320</v>
      </c>
      <c r="G67" s="3" t="s">
        <v>321</v>
      </c>
      <c r="H67" s="3" t="s">
        <v>280</v>
      </c>
      <c r="I67" s="3" t="s">
        <v>47</v>
      </c>
      <c r="J67" s="3">
        <v>4</v>
      </c>
      <c r="K67" s="5"/>
      <c r="L67" s="5"/>
      <c r="M67" s="3" t="str">
        <f t="shared" si="6"/>
        <v/>
      </c>
      <c r="N67" s="4">
        <f t="shared" si="7"/>
        <v>0</v>
      </c>
      <c r="O67" s="4">
        <f t="shared" si="8"/>
        <v>4</v>
      </c>
      <c r="P67" s="3" t="str">
        <f t="shared" si="9"/>
        <v>Pendiente</v>
      </c>
      <c r="Q67" s="3" t="s">
        <v>55</v>
      </c>
      <c r="R67" s="3"/>
      <c r="S67" s="3"/>
      <c r="T67" s="3" t="s">
        <v>322</v>
      </c>
      <c r="U67" s="3" t="str">
        <f t="shared" si="12"/>
        <v>Pendiente</v>
      </c>
      <c r="V67" s="3"/>
      <c r="W67" s="3" t="str">
        <f t="shared" si="13"/>
        <v>Por definir</v>
      </c>
      <c r="X67" s="3"/>
      <c r="Y67" s="3" t="s">
        <v>487</v>
      </c>
      <c r="Z67" s="3"/>
    </row>
    <row r="68" spans="1:26" ht="38.4" customHeight="1">
      <c r="A68" s="3">
        <v>62</v>
      </c>
      <c r="B68" s="3" t="s">
        <v>293</v>
      </c>
      <c r="C68" s="21">
        <v>0.08</v>
      </c>
      <c r="D68" s="3" t="s">
        <v>323</v>
      </c>
      <c r="E68" s="3" t="s">
        <v>324</v>
      </c>
      <c r="F68" s="3" t="s">
        <v>325</v>
      </c>
      <c r="G68" s="3" t="s">
        <v>326</v>
      </c>
      <c r="H68" s="3" t="s">
        <v>327</v>
      </c>
      <c r="I68" s="3" t="s">
        <v>47</v>
      </c>
      <c r="J68" s="3">
        <v>5</v>
      </c>
      <c r="K68" s="5"/>
      <c r="L68" s="5"/>
      <c r="M68" s="3" t="str">
        <f t="shared" si="6"/>
        <v/>
      </c>
      <c r="N68" s="4">
        <f t="shared" si="7"/>
        <v>0</v>
      </c>
      <c r="O68" s="4">
        <f t="shared" si="8"/>
        <v>5</v>
      </c>
      <c r="P68" s="3" t="str">
        <f t="shared" si="9"/>
        <v>Pendiente</v>
      </c>
      <c r="Q68" s="3" t="s">
        <v>47</v>
      </c>
      <c r="R68" s="3"/>
      <c r="S68" s="3"/>
      <c r="T68" s="3" t="s">
        <v>328</v>
      </c>
      <c r="U68" s="3" t="str">
        <f t="shared" si="12"/>
        <v>Pendiente</v>
      </c>
      <c r="V68" s="3"/>
      <c r="W68" s="3" t="str">
        <f t="shared" si="13"/>
        <v>Por definir</v>
      </c>
      <c r="X68" s="3"/>
      <c r="Y68" s="3" t="s">
        <v>487</v>
      </c>
      <c r="Z68" s="3"/>
    </row>
    <row r="69" spans="1:26" ht="38.4" customHeight="1">
      <c r="A69" s="3">
        <v>63</v>
      </c>
      <c r="B69" s="3" t="s">
        <v>293</v>
      </c>
      <c r="C69" s="21">
        <v>0.08</v>
      </c>
      <c r="D69" s="3" t="s">
        <v>329</v>
      </c>
      <c r="E69" s="3" t="s">
        <v>330</v>
      </c>
      <c r="F69" s="3" t="s">
        <v>331</v>
      </c>
      <c r="G69" s="3" t="s">
        <v>332</v>
      </c>
      <c r="H69" s="3" t="s">
        <v>333</v>
      </c>
      <c r="I69" s="3" t="s">
        <v>47</v>
      </c>
      <c r="J69" s="3">
        <v>3</v>
      </c>
      <c r="K69" s="5"/>
      <c r="L69" s="5"/>
      <c r="M69" s="3" t="str">
        <f t="shared" si="6"/>
        <v/>
      </c>
      <c r="N69" s="4">
        <f t="shared" si="7"/>
        <v>0</v>
      </c>
      <c r="O69" s="4">
        <f t="shared" si="8"/>
        <v>3</v>
      </c>
      <c r="P69" s="3" t="str">
        <f t="shared" si="9"/>
        <v>Pendiente</v>
      </c>
      <c r="Q69" s="3" t="s">
        <v>55</v>
      </c>
      <c r="R69" s="3"/>
      <c r="S69" s="3"/>
      <c r="T69" s="3" t="s">
        <v>334</v>
      </c>
      <c r="U69" s="3" t="str">
        <f t="shared" si="12"/>
        <v>Pendiente</v>
      </c>
      <c r="V69" s="3"/>
      <c r="W69" s="3" t="str">
        <f t="shared" si="13"/>
        <v>Por definir</v>
      </c>
      <c r="X69" s="3"/>
      <c r="Y69" s="3" t="s">
        <v>487</v>
      </c>
      <c r="Z69" s="3"/>
    </row>
    <row r="70" spans="1:26" ht="38.4" customHeight="1">
      <c r="A70" s="3">
        <v>64</v>
      </c>
      <c r="B70" s="3" t="s">
        <v>293</v>
      </c>
      <c r="C70" s="21">
        <v>0.08</v>
      </c>
      <c r="D70" s="3" t="s">
        <v>335</v>
      </c>
      <c r="E70" s="3" t="s">
        <v>336</v>
      </c>
      <c r="F70" s="3" t="s">
        <v>337</v>
      </c>
      <c r="G70" s="3" t="s">
        <v>338</v>
      </c>
      <c r="H70" s="3" t="s">
        <v>339</v>
      </c>
      <c r="I70" s="3" t="s">
        <v>47</v>
      </c>
      <c r="J70" s="3">
        <v>4</v>
      </c>
      <c r="K70" s="5"/>
      <c r="L70" s="5"/>
      <c r="M70" s="3" t="str">
        <f t="shared" si="6"/>
        <v/>
      </c>
      <c r="N70" s="4">
        <f t="shared" si="7"/>
        <v>0</v>
      </c>
      <c r="O70" s="4">
        <f t="shared" si="8"/>
        <v>4</v>
      </c>
      <c r="P70" s="3" t="str">
        <f t="shared" si="9"/>
        <v>Pendiente</v>
      </c>
      <c r="Q70" s="3" t="s">
        <v>55</v>
      </c>
      <c r="R70" s="3"/>
      <c r="S70" s="3"/>
      <c r="T70" s="3" t="s">
        <v>340</v>
      </c>
      <c r="U70" s="3" t="str">
        <f t="shared" si="12"/>
        <v>Pendiente</v>
      </c>
      <c r="V70" s="3"/>
      <c r="W70" s="3" t="str">
        <f t="shared" si="13"/>
        <v>Por definir</v>
      </c>
      <c r="X70" s="3"/>
      <c r="Y70" s="3" t="s">
        <v>487</v>
      </c>
      <c r="Z70" s="3"/>
    </row>
    <row r="71" spans="1:26" ht="38.4" customHeight="1">
      <c r="A71" s="3">
        <v>65</v>
      </c>
      <c r="B71" s="3" t="s">
        <v>341</v>
      </c>
      <c r="C71" s="21">
        <v>0.11</v>
      </c>
      <c r="D71" s="3" t="s">
        <v>342</v>
      </c>
      <c r="E71" s="3" t="s">
        <v>343</v>
      </c>
      <c r="F71" s="3" t="s">
        <v>344</v>
      </c>
      <c r="G71" s="3" t="s">
        <v>345</v>
      </c>
      <c r="H71" s="3" t="s">
        <v>346</v>
      </c>
      <c r="I71" s="3" t="s">
        <v>47</v>
      </c>
      <c r="J71" s="3">
        <v>5</v>
      </c>
      <c r="K71" s="5"/>
      <c r="L71" s="5"/>
      <c r="M71" s="3" t="str">
        <f t="shared" ref="M71:M86" si="14">IF(I71="No","N/A",IF(OR(K71="",L71=""),"",MIN(K71,L71+1)))</f>
        <v/>
      </c>
      <c r="N71" s="4">
        <f t="shared" ref="N71:N86" si="15">IF(OR(I71="No",M71="",M71="N/A"),0,(M71/5)*J71)</f>
        <v>0</v>
      </c>
      <c r="O71" s="4">
        <f t="shared" ref="O71:O86" si="16">IF(I71="Sí",J71,0)</f>
        <v>5</v>
      </c>
      <c r="P71" s="3" t="str">
        <f t="shared" ref="P71:P86" si="17">IF(I71="No","No aplica",IF(M71="","Pendiente",IF((5-M71)*J71&gt;=15,"Crítico",IF((5-M71)*J71&gt;=9,"Alto",IF((5-M71)*J71&gt;=5,"Medio","Bajo")))))</f>
        <v>Pendiente</v>
      </c>
      <c r="Q71" s="3" t="s">
        <v>47</v>
      </c>
      <c r="R71" s="3"/>
      <c r="S71" s="3"/>
      <c r="T71" s="3" t="s">
        <v>347</v>
      </c>
      <c r="U71" s="3" t="str">
        <f t="shared" si="12"/>
        <v>Pendiente</v>
      </c>
      <c r="V71" s="3"/>
      <c r="W71" s="3" t="str">
        <f t="shared" si="13"/>
        <v>Por definir</v>
      </c>
      <c r="X71" s="3"/>
      <c r="Y71" s="3" t="s">
        <v>487</v>
      </c>
      <c r="Z71" s="3"/>
    </row>
    <row r="72" spans="1:26" ht="38.4" customHeight="1">
      <c r="A72" s="3">
        <v>66</v>
      </c>
      <c r="B72" s="3" t="s">
        <v>341</v>
      </c>
      <c r="C72" s="21">
        <v>0.11</v>
      </c>
      <c r="D72" s="3" t="s">
        <v>348</v>
      </c>
      <c r="E72" s="3" t="s">
        <v>349</v>
      </c>
      <c r="F72" s="3" t="s">
        <v>350</v>
      </c>
      <c r="G72" s="3" t="s">
        <v>351</v>
      </c>
      <c r="H72" s="3" t="s">
        <v>352</v>
      </c>
      <c r="I72" s="3" t="s">
        <v>47</v>
      </c>
      <c r="J72" s="3">
        <v>5</v>
      </c>
      <c r="K72" s="5"/>
      <c r="L72" s="5"/>
      <c r="M72" s="3" t="str">
        <f t="shared" si="14"/>
        <v/>
      </c>
      <c r="N72" s="4">
        <f t="shared" si="15"/>
        <v>0</v>
      </c>
      <c r="O72" s="4">
        <f t="shared" si="16"/>
        <v>5</v>
      </c>
      <c r="P72" s="3" t="str">
        <f t="shared" si="17"/>
        <v>Pendiente</v>
      </c>
      <c r="Q72" s="3" t="s">
        <v>47</v>
      </c>
      <c r="R72" s="3"/>
      <c r="S72" s="3"/>
      <c r="T72" s="3" t="s">
        <v>353</v>
      </c>
      <c r="U72" s="3" t="str">
        <f t="shared" si="12"/>
        <v>Pendiente</v>
      </c>
      <c r="V72" s="3"/>
      <c r="W72" s="3" t="str">
        <f t="shared" si="13"/>
        <v>Por definir</v>
      </c>
      <c r="X72" s="3"/>
      <c r="Y72" s="3" t="s">
        <v>487</v>
      </c>
      <c r="Z72" s="3"/>
    </row>
    <row r="73" spans="1:26" ht="38.4" customHeight="1">
      <c r="A73" s="3">
        <v>67</v>
      </c>
      <c r="B73" s="3" t="s">
        <v>341</v>
      </c>
      <c r="C73" s="21">
        <v>0.11</v>
      </c>
      <c r="D73" s="3" t="s">
        <v>354</v>
      </c>
      <c r="E73" s="3" t="s">
        <v>355</v>
      </c>
      <c r="F73" s="3" t="s">
        <v>356</v>
      </c>
      <c r="G73" s="3" t="s">
        <v>357</v>
      </c>
      <c r="H73" s="3" t="s">
        <v>194</v>
      </c>
      <c r="I73" s="3" t="s">
        <v>47</v>
      </c>
      <c r="J73" s="3">
        <v>5</v>
      </c>
      <c r="K73" s="5"/>
      <c r="L73" s="5"/>
      <c r="M73" s="3" t="str">
        <f t="shared" si="14"/>
        <v/>
      </c>
      <c r="N73" s="4">
        <f t="shared" si="15"/>
        <v>0</v>
      </c>
      <c r="O73" s="4">
        <f t="shared" si="16"/>
        <v>5</v>
      </c>
      <c r="P73" s="3" t="str">
        <f t="shared" si="17"/>
        <v>Pendiente</v>
      </c>
      <c r="Q73" s="3" t="s">
        <v>47</v>
      </c>
      <c r="R73" s="3"/>
      <c r="S73" s="3"/>
      <c r="T73" s="3" t="s">
        <v>358</v>
      </c>
      <c r="U73" s="3" t="str">
        <f t="shared" si="12"/>
        <v>Pendiente</v>
      </c>
      <c r="V73" s="3"/>
      <c r="W73" s="3" t="str">
        <f t="shared" si="13"/>
        <v>Por definir</v>
      </c>
      <c r="X73" s="3"/>
      <c r="Y73" s="3" t="s">
        <v>487</v>
      </c>
      <c r="Z73" s="3"/>
    </row>
    <row r="74" spans="1:26" ht="38.4" customHeight="1">
      <c r="A74" s="3">
        <v>68</v>
      </c>
      <c r="B74" s="3" t="s">
        <v>341</v>
      </c>
      <c r="C74" s="21">
        <v>0.11</v>
      </c>
      <c r="D74" s="3" t="s">
        <v>359</v>
      </c>
      <c r="E74" s="3" t="s">
        <v>360</v>
      </c>
      <c r="F74" s="3" t="s">
        <v>361</v>
      </c>
      <c r="G74" s="3" t="s">
        <v>362</v>
      </c>
      <c r="H74" s="3" t="s">
        <v>363</v>
      </c>
      <c r="I74" s="3" t="s">
        <v>47</v>
      </c>
      <c r="J74" s="3">
        <v>5</v>
      </c>
      <c r="K74" s="5"/>
      <c r="L74" s="5"/>
      <c r="M74" s="3" t="str">
        <f t="shared" si="14"/>
        <v/>
      </c>
      <c r="N74" s="4">
        <f t="shared" si="15"/>
        <v>0</v>
      </c>
      <c r="O74" s="4">
        <f t="shared" si="16"/>
        <v>5</v>
      </c>
      <c r="P74" s="3" t="str">
        <f t="shared" si="17"/>
        <v>Pendiente</v>
      </c>
      <c r="Q74" s="3" t="s">
        <v>47</v>
      </c>
      <c r="R74" s="3"/>
      <c r="S74" s="3"/>
      <c r="T74" s="3" t="s">
        <v>364</v>
      </c>
      <c r="U74" s="3" t="str">
        <f t="shared" si="12"/>
        <v>Pendiente</v>
      </c>
      <c r="V74" s="3"/>
      <c r="W74" s="3" t="str">
        <f t="shared" si="13"/>
        <v>Por definir</v>
      </c>
      <c r="X74" s="3"/>
      <c r="Y74" s="3" t="s">
        <v>487</v>
      </c>
      <c r="Z74" s="3"/>
    </row>
    <row r="75" spans="1:26" ht="38.4" customHeight="1">
      <c r="A75" s="3">
        <v>69</v>
      </c>
      <c r="B75" s="3" t="s">
        <v>341</v>
      </c>
      <c r="C75" s="21">
        <v>0.11</v>
      </c>
      <c r="D75" s="3" t="s">
        <v>365</v>
      </c>
      <c r="E75" s="3" t="s">
        <v>366</v>
      </c>
      <c r="F75" s="3" t="s">
        <v>367</v>
      </c>
      <c r="G75" s="3" t="s">
        <v>368</v>
      </c>
      <c r="H75" s="3" t="s">
        <v>369</v>
      </c>
      <c r="I75" s="3" t="s">
        <v>47</v>
      </c>
      <c r="J75" s="3">
        <v>4</v>
      </c>
      <c r="K75" s="5"/>
      <c r="L75" s="5"/>
      <c r="M75" s="3" t="str">
        <f t="shared" si="14"/>
        <v/>
      </c>
      <c r="N75" s="4">
        <f t="shared" si="15"/>
        <v>0</v>
      </c>
      <c r="O75" s="4">
        <f t="shared" si="16"/>
        <v>4</v>
      </c>
      <c r="P75" s="3" t="str">
        <f t="shared" si="17"/>
        <v>Pendiente</v>
      </c>
      <c r="Q75" s="3" t="s">
        <v>55</v>
      </c>
      <c r="R75" s="3"/>
      <c r="S75" s="3"/>
      <c r="T75" s="3" t="s">
        <v>370</v>
      </c>
      <c r="U75" s="3" t="str">
        <f t="shared" si="12"/>
        <v>Pendiente</v>
      </c>
      <c r="V75" s="3"/>
      <c r="W75" s="3" t="str">
        <f t="shared" si="13"/>
        <v>Por definir</v>
      </c>
      <c r="X75" s="3"/>
      <c r="Y75" s="3" t="s">
        <v>487</v>
      </c>
      <c r="Z75" s="3"/>
    </row>
    <row r="76" spans="1:26" ht="38.4" customHeight="1">
      <c r="A76" s="3">
        <v>70</v>
      </c>
      <c r="B76" s="3" t="s">
        <v>341</v>
      </c>
      <c r="C76" s="21">
        <v>0.11</v>
      </c>
      <c r="D76" s="3" t="s">
        <v>371</v>
      </c>
      <c r="E76" s="3" t="s">
        <v>372</v>
      </c>
      <c r="F76" s="3" t="s">
        <v>373</v>
      </c>
      <c r="G76" s="3" t="s">
        <v>374</v>
      </c>
      <c r="H76" s="3" t="s">
        <v>375</v>
      </c>
      <c r="I76" s="3" t="s">
        <v>47</v>
      </c>
      <c r="J76" s="3">
        <v>5</v>
      </c>
      <c r="K76" s="5"/>
      <c r="L76" s="5"/>
      <c r="M76" s="3" t="str">
        <f t="shared" si="14"/>
        <v/>
      </c>
      <c r="N76" s="4">
        <f t="shared" si="15"/>
        <v>0</v>
      </c>
      <c r="O76" s="4">
        <f t="shared" si="16"/>
        <v>5</v>
      </c>
      <c r="P76" s="3" t="str">
        <f t="shared" si="17"/>
        <v>Pendiente</v>
      </c>
      <c r="Q76" s="3" t="s">
        <v>47</v>
      </c>
      <c r="R76" s="3"/>
      <c r="S76" s="3"/>
      <c r="T76" s="3" t="s">
        <v>376</v>
      </c>
      <c r="U76" s="3" t="str">
        <f t="shared" si="12"/>
        <v>Pendiente</v>
      </c>
      <c r="V76" s="3"/>
      <c r="W76" s="3" t="str">
        <f t="shared" si="13"/>
        <v>Por definir</v>
      </c>
      <c r="X76" s="3"/>
      <c r="Y76" s="3" t="s">
        <v>487</v>
      </c>
      <c r="Z76" s="3"/>
    </row>
    <row r="77" spans="1:26" ht="38.4" customHeight="1">
      <c r="A77" s="3">
        <v>71</v>
      </c>
      <c r="B77" s="3" t="s">
        <v>341</v>
      </c>
      <c r="C77" s="21">
        <v>0.11</v>
      </c>
      <c r="D77" s="3" t="s">
        <v>377</v>
      </c>
      <c r="E77" s="3" t="s">
        <v>378</v>
      </c>
      <c r="F77" s="3" t="s">
        <v>379</v>
      </c>
      <c r="G77" s="3" t="s">
        <v>380</v>
      </c>
      <c r="H77" s="3" t="s">
        <v>381</v>
      </c>
      <c r="I77" s="3" t="s">
        <v>47</v>
      </c>
      <c r="J77" s="3">
        <v>4</v>
      </c>
      <c r="K77" s="5"/>
      <c r="L77" s="5"/>
      <c r="M77" s="3" t="str">
        <f t="shared" si="14"/>
        <v/>
      </c>
      <c r="N77" s="4">
        <f t="shared" si="15"/>
        <v>0</v>
      </c>
      <c r="O77" s="4">
        <f t="shared" si="16"/>
        <v>4</v>
      </c>
      <c r="P77" s="3" t="str">
        <f t="shared" si="17"/>
        <v>Pendiente</v>
      </c>
      <c r="Q77" s="3" t="s">
        <v>55</v>
      </c>
      <c r="R77" s="3"/>
      <c r="S77" s="3"/>
      <c r="T77" s="3" t="s">
        <v>382</v>
      </c>
      <c r="U77" s="3" t="str">
        <f t="shared" si="12"/>
        <v>Pendiente</v>
      </c>
      <c r="V77" s="3"/>
      <c r="W77" s="3" t="str">
        <f t="shared" si="13"/>
        <v>Por definir</v>
      </c>
      <c r="X77" s="3"/>
      <c r="Y77" s="3" t="s">
        <v>487</v>
      </c>
      <c r="Z77" s="3"/>
    </row>
    <row r="78" spans="1:26" ht="38.4" customHeight="1">
      <c r="A78" s="3">
        <v>72</v>
      </c>
      <c r="B78" s="3" t="s">
        <v>341</v>
      </c>
      <c r="C78" s="21">
        <v>0.11</v>
      </c>
      <c r="D78" s="3" t="s">
        <v>383</v>
      </c>
      <c r="E78" s="3" t="s">
        <v>384</v>
      </c>
      <c r="F78" s="3" t="s">
        <v>385</v>
      </c>
      <c r="G78" s="3" t="s">
        <v>386</v>
      </c>
      <c r="H78" s="3" t="s">
        <v>387</v>
      </c>
      <c r="I78" s="3" t="s">
        <v>47</v>
      </c>
      <c r="J78" s="3">
        <v>4</v>
      </c>
      <c r="K78" s="5"/>
      <c r="L78" s="5"/>
      <c r="M78" s="3" t="str">
        <f t="shared" si="14"/>
        <v/>
      </c>
      <c r="N78" s="4">
        <f t="shared" si="15"/>
        <v>0</v>
      </c>
      <c r="O78" s="4">
        <f t="shared" si="16"/>
        <v>4</v>
      </c>
      <c r="P78" s="3" t="str">
        <f t="shared" si="17"/>
        <v>Pendiente</v>
      </c>
      <c r="Q78" s="3" t="s">
        <v>55</v>
      </c>
      <c r="R78" s="3"/>
      <c r="S78" s="3"/>
      <c r="T78" s="3" t="s">
        <v>388</v>
      </c>
      <c r="U78" s="3" t="str">
        <f t="shared" si="12"/>
        <v>Pendiente</v>
      </c>
      <c r="V78" s="3"/>
      <c r="W78" s="3" t="str">
        <f t="shared" si="13"/>
        <v>Por definir</v>
      </c>
      <c r="X78" s="3"/>
      <c r="Y78" s="3" t="s">
        <v>487</v>
      </c>
      <c r="Z78" s="3"/>
    </row>
    <row r="79" spans="1:26" ht="38.4" customHeight="1">
      <c r="A79" s="3">
        <v>73</v>
      </c>
      <c r="B79" s="3" t="s">
        <v>15</v>
      </c>
      <c r="C79" s="21">
        <v>0.05</v>
      </c>
      <c r="D79" s="3" t="s">
        <v>389</v>
      </c>
      <c r="E79" s="3" t="s">
        <v>390</v>
      </c>
      <c r="F79" s="3" t="s">
        <v>391</v>
      </c>
      <c r="G79" s="3" t="s">
        <v>392</v>
      </c>
      <c r="H79" s="3" t="s">
        <v>155</v>
      </c>
      <c r="I79" s="3" t="s">
        <v>47</v>
      </c>
      <c r="J79" s="3">
        <v>4</v>
      </c>
      <c r="K79" s="5"/>
      <c r="L79" s="5"/>
      <c r="M79" s="3" t="str">
        <f t="shared" si="14"/>
        <v/>
      </c>
      <c r="N79" s="4">
        <f t="shared" si="15"/>
        <v>0</v>
      </c>
      <c r="O79" s="4">
        <f t="shared" si="16"/>
        <v>4</v>
      </c>
      <c r="P79" s="3" t="str">
        <f t="shared" si="17"/>
        <v>Pendiente</v>
      </c>
      <c r="Q79" s="3" t="s">
        <v>55</v>
      </c>
      <c r="R79" s="3"/>
      <c r="S79" s="3"/>
      <c r="T79" s="3" t="s">
        <v>393</v>
      </c>
      <c r="U79" s="3" t="str">
        <f t="shared" si="12"/>
        <v>Pendiente</v>
      </c>
      <c r="V79" s="3"/>
      <c r="W79" s="3" t="str">
        <f t="shared" si="13"/>
        <v>Por definir</v>
      </c>
      <c r="X79" s="3"/>
      <c r="Y79" s="3" t="s">
        <v>487</v>
      </c>
      <c r="Z79" s="3"/>
    </row>
    <row r="80" spans="1:26" ht="38.4" customHeight="1">
      <c r="A80" s="3">
        <v>74</v>
      </c>
      <c r="B80" s="3" t="s">
        <v>15</v>
      </c>
      <c r="C80" s="21">
        <v>0.05</v>
      </c>
      <c r="D80" s="3" t="s">
        <v>394</v>
      </c>
      <c r="E80" s="3" t="s">
        <v>395</v>
      </c>
      <c r="F80" s="3" t="s">
        <v>396</v>
      </c>
      <c r="G80" s="3" t="s">
        <v>397</v>
      </c>
      <c r="H80" s="3" t="s">
        <v>155</v>
      </c>
      <c r="I80" s="3" t="s">
        <v>47</v>
      </c>
      <c r="J80" s="3">
        <v>4</v>
      </c>
      <c r="K80" s="5"/>
      <c r="L80" s="5"/>
      <c r="M80" s="3" t="str">
        <f t="shared" si="14"/>
        <v/>
      </c>
      <c r="N80" s="4">
        <f t="shared" si="15"/>
        <v>0</v>
      </c>
      <c r="O80" s="4">
        <f t="shared" si="16"/>
        <v>4</v>
      </c>
      <c r="P80" s="3" t="str">
        <f t="shared" si="17"/>
        <v>Pendiente</v>
      </c>
      <c r="Q80" s="3" t="s">
        <v>55</v>
      </c>
      <c r="R80" s="3"/>
      <c r="S80" s="3"/>
      <c r="T80" s="3" t="s">
        <v>398</v>
      </c>
      <c r="U80" s="3" t="str">
        <f t="shared" si="12"/>
        <v>Pendiente</v>
      </c>
      <c r="V80" s="3"/>
      <c r="W80" s="3" t="str">
        <f t="shared" si="13"/>
        <v>Por definir</v>
      </c>
      <c r="X80" s="3"/>
      <c r="Y80" s="3" t="s">
        <v>487</v>
      </c>
      <c r="Z80" s="3"/>
    </row>
    <row r="81" spans="1:26" ht="38.4" customHeight="1">
      <c r="A81" s="3">
        <v>75</v>
      </c>
      <c r="B81" s="3" t="s">
        <v>15</v>
      </c>
      <c r="C81" s="21">
        <v>0.05</v>
      </c>
      <c r="D81" s="3" t="s">
        <v>399</v>
      </c>
      <c r="E81" s="3" t="s">
        <v>400</v>
      </c>
      <c r="F81" s="3" t="s">
        <v>401</v>
      </c>
      <c r="G81" s="3" t="s">
        <v>402</v>
      </c>
      <c r="H81" s="3" t="s">
        <v>403</v>
      </c>
      <c r="I81" s="3" t="s">
        <v>47</v>
      </c>
      <c r="J81" s="3">
        <v>3</v>
      </c>
      <c r="K81" s="5"/>
      <c r="L81" s="5"/>
      <c r="M81" s="3" t="str">
        <f t="shared" si="14"/>
        <v/>
      </c>
      <c r="N81" s="4">
        <f t="shared" si="15"/>
        <v>0</v>
      </c>
      <c r="O81" s="4">
        <f t="shared" si="16"/>
        <v>3</v>
      </c>
      <c r="P81" s="3" t="str">
        <f t="shared" si="17"/>
        <v>Pendiente</v>
      </c>
      <c r="Q81" s="3" t="s">
        <v>55</v>
      </c>
      <c r="R81" s="3"/>
      <c r="S81" s="3"/>
      <c r="T81" s="3" t="s">
        <v>404</v>
      </c>
      <c r="U81" s="3" t="str">
        <f t="shared" si="12"/>
        <v>Pendiente</v>
      </c>
      <c r="V81" s="3"/>
      <c r="W81" s="3" t="str">
        <f t="shared" si="13"/>
        <v>Por definir</v>
      </c>
      <c r="X81" s="3"/>
      <c r="Y81" s="3" t="s">
        <v>487</v>
      </c>
      <c r="Z81" s="3"/>
    </row>
    <row r="82" spans="1:26" ht="38.4" customHeight="1">
      <c r="A82" s="3">
        <v>76</v>
      </c>
      <c r="B82" s="3" t="s">
        <v>15</v>
      </c>
      <c r="C82" s="21">
        <v>0.05</v>
      </c>
      <c r="D82" s="3" t="s">
        <v>405</v>
      </c>
      <c r="E82" s="3" t="s">
        <v>406</v>
      </c>
      <c r="F82" s="3" t="s">
        <v>407</v>
      </c>
      <c r="G82" s="3" t="s">
        <v>408</v>
      </c>
      <c r="H82" s="3" t="s">
        <v>155</v>
      </c>
      <c r="I82" s="3" t="s">
        <v>47</v>
      </c>
      <c r="J82" s="3">
        <v>3</v>
      </c>
      <c r="K82" s="5"/>
      <c r="L82" s="5"/>
      <c r="M82" s="3" t="str">
        <f t="shared" si="14"/>
        <v/>
      </c>
      <c r="N82" s="4">
        <f t="shared" si="15"/>
        <v>0</v>
      </c>
      <c r="O82" s="4">
        <f t="shared" si="16"/>
        <v>3</v>
      </c>
      <c r="P82" s="3" t="str">
        <f t="shared" si="17"/>
        <v>Pendiente</v>
      </c>
      <c r="Q82" s="3" t="s">
        <v>55</v>
      </c>
      <c r="R82" s="3"/>
      <c r="S82" s="3"/>
      <c r="T82" s="3" t="s">
        <v>409</v>
      </c>
      <c r="U82" s="3" t="str">
        <f t="shared" si="12"/>
        <v>Pendiente</v>
      </c>
      <c r="V82" s="3"/>
      <c r="W82" s="3" t="str">
        <f t="shared" si="13"/>
        <v>Por definir</v>
      </c>
      <c r="X82" s="3"/>
      <c r="Y82" s="3" t="s">
        <v>487</v>
      </c>
      <c r="Z82" s="3"/>
    </row>
    <row r="83" spans="1:26" ht="38.4" customHeight="1">
      <c r="A83" s="3">
        <v>77</v>
      </c>
      <c r="B83" s="3" t="s">
        <v>15</v>
      </c>
      <c r="C83" s="21">
        <v>0.05</v>
      </c>
      <c r="D83" s="3" t="s">
        <v>410</v>
      </c>
      <c r="E83" s="3" t="s">
        <v>411</v>
      </c>
      <c r="F83" s="3" t="s">
        <v>412</v>
      </c>
      <c r="G83" s="3" t="s">
        <v>413</v>
      </c>
      <c r="H83" s="3" t="s">
        <v>414</v>
      </c>
      <c r="I83" s="3" t="s">
        <v>47</v>
      </c>
      <c r="J83" s="3">
        <v>2</v>
      </c>
      <c r="K83" s="5"/>
      <c r="L83" s="5"/>
      <c r="M83" s="3" t="str">
        <f t="shared" si="14"/>
        <v/>
      </c>
      <c r="N83" s="4">
        <f t="shared" si="15"/>
        <v>0</v>
      </c>
      <c r="O83" s="4">
        <f t="shared" si="16"/>
        <v>2</v>
      </c>
      <c r="P83" s="3" t="str">
        <f t="shared" si="17"/>
        <v>Pendiente</v>
      </c>
      <c r="Q83" s="3" t="s">
        <v>55</v>
      </c>
      <c r="R83" s="3"/>
      <c r="S83" s="3"/>
      <c r="T83" s="3" t="s">
        <v>415</v>
      </c>
      <c r="U83" s="3" t="str">
        <f t="shared" si="12"/>
        <v>Pendiente</v>
      </c>
      <c r="V83" s="3"/>
      <c r="W83" s="3" t="str">
        <f t="shared" si="13"/>
        <v>Por definir</v>
      </c>
      <c r="X83" s="3"/>
      <c r="Y83" s="3" t="s">
        <v>487</v>
      </c>
      <c r="Z83" s="3"/>
    </row>
    <row r="84" spans="1:26" ht="38.4" customHeight="1">
      <c r="A84" s="3">
        <v>78</v>
      </c>
      <c r="B84" s="3" t="s">
        <v>15</v>
      </c>
      <c r="C84" s="21">
        <v>0.05</v>
      </c>
      <c r="D84" s="3" t="s">
        <v>416</v>
      </c>
      <c r="E84" s="3" t="s">
        <v>417</v>
      </c>
      <c r="F84" s="3" t="s">
        <v>418</v>
      </c>
      <c r="G84" s="3" t="s">
        <v>419</v>
      </c>
      <c r="H84" s="3" t="s">
        <v>420</v>
      </c>
      <c r="I84" s="3" t="s">
        <v>47</v>
      </c>
      <c r="J84" s="3">
        <v>4</v>
      </c>
      <c r="K84" s="5"/>
      <c r="L84" s="5"/>
      <c r="M84" s="3" t="str">
        <f t="shared" si="14"/>
        <v/>
      </c>
      <c r="N84" s="4">
        <f t="shared" si="15"/>
        <v>0</v>
      </c>
      <c r="O84" s="4">
        <f t="shared" si="16"/>
        <v>4</v>
      </c>
      <c r="P84" s="3" t="str">
        <f t="shared" si="17"/>
        <v>Pendiente</v>
      </c>
      <c r="Q84" s="3" t="s">
        <v>55</v>
      </c>
      <c r="R84" s="3"/>
      <c r="S84" s="3"/>
      <c r="T84" s="3" t="s">
        <v>421</v>
      </c>
      <c r="U84" s="3" t="str">
        <f t="shared" si="12"/>
        <v>Pendiente</v>
      </c>
      <c r="V84" s="3"/>
      <c r="W84" s="3" t="str">
        <f t="shared" si="13"/>
        <v>Por definir</v>
      </c>
      <c r="X84" s="3"/>
      <c r="Y84" s="3" t="s">
        <v>487</v>
      </c>
      <c r="Z84" s="3"/>
    </row>
    <row r="85" spans="1:26" ht="38.4" customHeight="1">
      <c r="A85" s="3">
        <v>79</v>
      </c>
      <c r="B85" s="3" t="s">
        <v>15</v>
      </c>
      <c r="C85" s="21">
        <v>0.05</v>
      </c>
      <c r="D85" s="3" t="s">
        <v>422</v>
      </c>
      <c r="E85" s="3" t="s">
        <v>423</v>
      </c>
      <c r="F85" s="3" t="s">
        <v>424</v>
      </c>
      <c r="G85" s="3" t="s">
        <v>425</v>
      </c>
      <c r="H85" s="3" t="s">
        <v>426</v>
      </c>
      <c r="I85" s="3" t="s">
        <v>47</v>
      </c>
      <c r="J85" s="3">
        <v>4</v>
      </c>
      <c r="K85" s="5"/>
      <c r="L85" s="5"/>
      <c r="M85" s="3" t="str">
        <f t="shared" si="14"/>
        <v/>
      </c>
      <c r="N85" s="4">
        <f t="shared" si="15"/>
        <v>0</v>
      </c>
      <c r="O85" s="4">
        <f t="shared" si="16"/>
        <v>4</v>
      </c>
      <c r="P85" s="3" t="str">
        <f t="shared" si="17"/>
        <v>Pendiente</v>
      </c>
      <c r="Q85" s="3" t="s">
        <v>55</v>
      </c>
      <c r="R85" s="3"/>
      <c r="S85" s="3"/>
      <c r="T85" s="3" t="s">
        <v>427</v>
      </c>
      <c r="U85" s="3" t="str">
        <f t="shared" si="12"/>
        <v>Pendiente</v>
      </c>
      <c r="V85" s="3"/>
      <c r="W85" s="3" t="str">
        <f t="shared" si="13"/>
        <v>Por definir</v>
      </c>
      <c r="X85" s="3"/>
      <c r="Y85" s="3" t="s">
        <v>487</v>
      </c>
      <c r="Z85" s="3"/>
    </row>
    <row r="86" spans="1:26" ht="38.4" customHeight="1">
      <c r="A86" s="3">
        <v>80</v>
      </c>
      <c r="B86" s="3" t="s">
        <v>15</v>
      </c>
      <c r="C86" s="21">
        <v>0.05</v>
      </c>
      <c r="D86" s="3" t="s">
        <v>428</v>
      </c>
      <c r="E86" s="3" t="s">
        <v>429</v>
      </c>
      <c r="F86" s="3" t="s">
        <v>430</v>
      </c>
      <c r="G86" s="3" t="s">
        <v>431</v>
      </c>
      <c r="H86" s="3" t="s">
        <v>432</v>
      </c>
      <c r="I86" s="3" t="s">
        <v>47</v>
      </c>
      <c r="J86" s="3">
        <v>4</v>
      </c>
      <c r="K86" s="5"/>
      <c r="L86" s="5"/>
      <c r="M86" s="3" t="str">
        <f t="shared" si="14"/>
        <v/>
      </c>
      <c r="N86" s="4">
        <f t="shared" si="15"/>
        <v>0</v>
      </c>
      <c r="O86" s="4">
        <f t="shared" si="16"/>
        <v>4</v>
      </c>
      <c r="P86" s="3" t="str">
        <f t="shared" si="17"/>
        <v>Pendiente</v>
      </c>
      <c r="Q86" s="3" t="s">
        <v>55</v>
      </c>
      <c r="R86" s="3"/>
      <c r="S86" s="3"/>
      <c r="T86" s="3" t="s">
        <v>433</v>
      </c>
      <c r="U86" s="3" t="str">
        <f t="shared" si="12"/>
        <v>Pendiente</v>
      </c>
      <c r="V86" s="3"/>
      <c r="W86" s="3" t="str">
        <f t="shared" si="13"/>
        <v>Por definir</v>
      </c>
      <c r="X86" s="3"/>
      <c r="Y86" s="3" t="s">
        <v>487</v>
      </c>
      <c r="Z86" s="3"/>
    </row>
  </sheetData>
  <mergeCells count="3">
    <mergeCell ref="A1:Z1"/>
    <mergeCell ref="A2:Z2"/>
    <mergeCell ref="A3:Z3"/>
  </mergeCells>
  <conditionalFormatting sqref="P7:P86">
    <cfRule type="expression" dxfId="5" priority="6">
      <formula>P7="Crítico"</formula>
    </cfRule>
    <cfRule type="expression" dxfId="4" priority="7">
      <formula>P7="Alto"</formula>
    </cfRule>
    <cfRule type="expression" dxfId="3" priority="8">
      <formula>P7="Medio"</formula>
    </cfRule>
    <cfRule type="expression" dxfId="2" priority="9">
      <formula>P7="Bajo"</formula>
    </cfRule>
  </conditionalFormatting>
  <conditionalFormatting sqref="M7:M86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6">
    <dataValidation type="list" sqref="I7:I86">
      <formula1>"Sí,No"</formula1>
    </dataValidation>
    <dataValidation type="list" sqref="K7:K86">
      <formula1>"1,2,3,4,5"</formula1>
    </dataValidation>
    <dataValidation type="list" sqref="L7:L86">
      <formula1>"0,1,2,3,4"</formula1>
    </dataValidation>
    <dataValidation type="list" sqref="Q7:Q86">
      <formula1>"Sí,No"</formula1>
    </dataValidation>
    <dataValidation type="list" sqref="Y7:Y86">
      <formula1>"Pendiente,En proceso,Cerrado,No iniciado,No aplica"</formula1>
    </dataValidation>
    <dataValidation type="list" sqref="U7:U86">
      <formula1>"Crítica,Alta,Media,Baja,Pendiente"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sqref="A1:I1"/>
    </sheetView>
  </sheetViews>
  <sheetFormatPr baseColWidth="10" defaultColWidth="8.796875" defaultRowHeight="13.8"/>
  <cols>
    <col min="1" max="1" width="42" customWidth="1"/>
    <col min="2" max="2" width="12" customWidth="1"/>
    <col min="3" max="4" width="14" customWidth="1"/>
    <col min="5" max="5" width="12" customWidth="1"/>
    <col min="6" max="6" width="14" customWidth="1"/>
    <col min="7" max="7" width="26" customWidth="1"/>
    <col min="8" max="8" width="18" customWidth="1"/>
    <col min="9" max="9" width="28" customWidth="1"/>
  </cols>
  <sheetData>
    <row r="1" spans="1:26" ht="17.399999999999999">
      <c r="A1" s="148" t="s">
        <v>434</v>
      </c>
      <c r="B1" s="148"/>
      <c r="C1" s="148"/>
      <c r="D1" s="148"/>
      <c r="E1" s="148"/>
      <c r="F1" s="148"/>
      <c r="G1" s="148"/>
      <c r="H1" s="148"/>
      <c r="I1" s="148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21.75" customHeight="1">
      <c r="A3" s="12" t="s">
        <v>2</v>
      </c>
      <c r="B3" s="12" t="s">
        <v>3</v>
      </c>
      <c r="C3" s="12" t="s">
        <v>435</v>
      </c>
      <c r="D3" s="12" t="s">
        <v>436</v>
      </c>
      <c r="E3" s="12" t="s">
        <v>437</v>
      </c>
      <c r="F3" s="12" t="s">
        <v>438</v>
      </c>
      <c r="G3" s="12" t="s">
        <v>439</v>
      </c>
      <c r="H3" s="12" t="s">
        <v>440</v>
      </c>
      <c r="I3" s="12" t="s">
        <v>441</v>
      </c>
    </row>
    <row r="4" spans="1:26" ht="21.75" customHeight="1">
      <c r="A4" s="2" t="s">
        <v>44</v>
      </c>
      <c r="B4" s="19">
        <v>0.12</v>
      </c>
      <c r="C4" s="20">
        <f>COUNTIFS(ASSESSMENT!$B:$B,A4,ASSESSMENT!$I:$I,"Sí")</f>
        <v>8</v>
      </c>
      <c r="D4" s="20">
        <f>COUNTIFS(ASSESSMENT!$B:$B,A4,ASSESSMENT!$I:$I,"Sí",ASSESSMENT!$K:$K,"&gt;=1")</f>
        <v>0</v>
      </c>
      <c r="E4" s="19">
        <f t="shared" ref="E4:E13" si="0">IFERROR(D4/C4,0)</f>
        <v>0</v>
      </c>
      <c r="F4" s="19">
        <f>IFERROR(SUMIFS(ASSESSMENT!$N:$N,ASSESSMENT!$B:$B,A4)/SUMIFS(ASSESSMENT!$O:$O,ASSESSMENT!$B:$B,A4),0)</f>
        <v>0</v>
      </c>
      <c r="G4" s="2" t="str">
        <f t="shared" ref="G4:G13" si="1">IF(E4&lt;0.6,"Sin evaluación suficiente",IF(F4&lt;0.4,"Nivel 1 - Inicial",IF(F4&lt;0.6,"Nivel 2 - Básico",IF(F4&lt;0.75,"Nivel 3 - Definido",IF(F4&lt;0.9,"Nivel 4 - Gestionado","Nivel 5 - Optimizado")))))</f>
        <v>Sin evaluación suficiente</v>
      </c>
      <c r="H4" s="2">
        <f>COUNTIFS(ASSESSMENT!$B:$B,A4,ASSESSMENT!$P:$P,"Crítico")+COUNTIFS(ASSESSMENT!$B:$B,A4,ASSESSMENT!$P:$P,"Alto")</f>
        <v>0</v>
      </c>
      <c r="I4" s="2" t="str">
        <f t="shared" ref="I4:I13" si="2">IF(E4&lt;0.6,"Completar evaluación",IF(H4&gt;0,"Cerrar brechas prioritarias","Mantener y mejorar"))</f>
        <v>Completar evaluación</v>
      </c>
    </row>
    <row r="5" spans="1:26" ht="21.75" customHeight="1">
      <c r="A5" s="2" t="s">
        <v>80</v>
      </c>
      <c r="B5" s="19">
        <v>0.14000000000000001</v>
      </c>
      <c r="C5" s="20">
        <f>COUNTIFS(ASSESSMENT!$B:$B,A5,ASSESSMENT!$I:$I,"Sí")</f>
        <v>8</v>
      </c>
      <c r="D5" s="20">
        <f>COUNTIFS(ASSESSMENT!$B:$B,A5,ASSESSMENT!$I:$I,"Sí",ASSESSMENT!$K:$K,"&gt;=1")</f>
        <v>0</v>
      </c>
      <c r="E5" s="19">
        <f t="shared" si="0"/>
        <v>0</v>
      </c>
      <c r="F5" s="19">
        <f>IFERROR(SUMIFS(ASSESSMENT!$N:$N,ASSESSMENT!$B:$B,A5)/SUMIFS(ASSESSMENT!$O:$O,ASSESSMENT!$B:$B,A5),0)</f>
        <v>0</v>
      </c>
      <c r="G5" s="2" t="str">
        <f t="shared" si="1"/>
        <v>Sin evaluación suficiente</v>
      </c>
      <c r="H5" s="2">
        <f>COUNTIFS(ASSESSMENT!$B:$B,A5,ASSESSMENT!$P:$P,"Crítico")+COUNTIFS(ASSESSMENT!$B:$B,A5,ASSESSMENT!$P:$P,"Alto")</f>
        <v>0</v>
      </c>
      <c r="I5" s="2" t="str">
        <f t="shared" si="2"/>
        <v>Completar evaluación</v>
      </c>
    </row>
    <row r="6" spans="1:26" ht="21.75" customHeight="1">
      <c r="A6" s="2" t="s">
        <v>117</v>
      </c>
      <c r="B6" s="19">
        <v>0.08</v>
      </c>
      <c r="C6" s="20">
        <f>COUNTIFS(ASSESSMENT!$B:$B,A6,ASSESSMENT!$I:$I,"Sí")</f>
        <v>8</v>
      </c>
      <c r="D6" s="20">
        <f>COUNTIFS(ASSESSMENT!$B:$B,A6,ASSESSMENT!$I:$I,"Sí",ASSESSMENT!$K:$K,"&gt;=1")</f>
        <v>0</v>
      </c>
      <c r="E6" s="19">
        <f t="shared" si="0"/>
        <v>0</v>
      </c>
      <c r="F6" s="19">
        <f>IFERROR(SUMIFS(ASSESSMENT!$N:$N,ASSESSMENT!$B:$B,A6)/SUMIFS(ASSESSMENT!$O:$O,ASSESSMENT!$B:$B,A6),0)</f>
        <v>0</v>
      </c>
      <c r="G6" s="2" t="str">
        <f t="shared" si="1"/>
        <v>Sin evaluación suficiente</v>
      </c>
      <c r="H6" s="2">
        <f>COUNTIFS(ASSESSMENT!$B:$B,A6,ASSESSMENT!$P:$P,"Crítico")+COUNTIFS(ASSESSMENT!$B:$B,A6,ASSESSMENT!$P:$P,"Alto")</f>
        <v>0</v>
      </c>
      <c r="I6" s="2" t="str">
        <f t="shared" si="2"/>
        <v>Completar evaluación</v>
      </c>
    </row>
    <row r="7" spans="1:26" ht="21.75" customHeight="1">
      <c r="A7" s="2" t="s">
        <v>163</v>
      </c>
      <c r="B7" s="19">
        <v>0.08</v>
      </c>
      <c r="C7" s="20">
        <f>COUNTIFS(ASSESSMENT!$B:$B,A7,ASSESSMENT!$I:$I,"Sí")</f>
        <v>8</v>
      </c>
      <c r="D7" s="20">
        <f>COUNTIFS(ASSESSMENT!$B:$B,A7,ASSESSMENT!$I:$I,"Sí",ASSESSMENT!$K:$K,"&gt;=1")</f>
        <v>0</v>
      </c>
      <c r="E7" s="19">
        <f t="shared" si="0"/>
        <v>0</v>
      </c>
      <c r="F7" s="19">
        <f>IFERROR(SUMIFS(ASSESSMENT!$N:$N,ASSESSMENT!$B:$B,A7)/SUMIFS(ASSESSMENT!$O:$O,ASSESSMENT!$B:$B,A7),0)</f>
        <v>0</v>
      </c>
      <c r="G7" s="2" t="str">
        <f t="shared" si="1"/>
        <v>Sin evaluación suficiente</v>
      </c>
      <c r="H7" s="2">
        <f>COUNTIFS(ASSESSMENT!$B:$B,A7,ASSESSMENT!$P:$P,"Crítico")+COUNTIFS(ASSESSMENT!$B:$B,A7,ASSESSMENT!$P:$P,"Alto")</f>
        <v>0</v>
      </c>
      <c r="I7" s="2" t="str">
        <f t="shared" si="2"/>
        <v>Completar evaluación</v>
      </c>
    </row>
    <row r="8" spans="1:26" ht="21.75" customHeight="1">
      <c r="A8" s="2" t="s">
        <v>592</v>
      </c>
      <c r="B8" s="19">
        <v>0.1</v>
      </c>
      <c r="C8" s="20">
        <f>COUNTIFS(ASSESSMENT!$B:$B,A8,ASSESSMENT!$I:$I,"Sí")</f>
        <v>8</v>
      </c>
      <c r="D8" s="20">
        <f>COUNTIFS(ASSESSMENT!$B:$B,A8,ASSESSMENT!$I:$I,"Sí",ASSESSMENT!$K:$K,"&gt;=1")</f>
        <v>0</v>
      </c>
      <c r="E8" s="19">
        <f t="shared" si="0"/>
        <v>0</v>
      </c>
      <c r="F8" s="19">
        <f>IFERROR(SUMIFS(ASSESSMENT!$N:$N,ASSESSMENT!$B:$B,A8)/SUMIFS(ASSESSMENT!$O:$O,ASSESSMENT!$B:$B,A8),0)</f>
        <v>0</v>
      </c>
      <c r="G8" s="2" t="str">
        <f t="shared" si="1"/>
        <v>Sin evaluación suficiente</v>
      </c>
      <c r="H8" s="2">
        <f>COUNTIFS(ASSESSMENT!$B:$B,A8,ASSESSMENT!$P:$P,"Crítico")+COUNTIFS(ASSESSMENT!$B:$B,A8,ASSESSMENT!$P:$P,"Alto")</f>
        <v>0</v>
      </c>
      <c r="I8" s="2" t="str">
        <f t="shared" si="2"/>
        <v>Completar evaluación</v>
      </c>
    </row>
    <row r="9" spans="1:26" ht="21.75" customHeight="1">
      <c r="A9" s="2" t="s">
        <v>208</v>
      </c>
      <c r="B9" s="19">
        <v>0.1</v>
      </c>
      <c r="C9" s="20">
        <f>COUNTIFS(ASSESSMENT!$B:$B,A9,ASSESSMENT!$I:$I,"Sí")</f>
        <v>8</v>
      </c>
      <c r="D9" s="20">
        <f>COUNTIFS(ASSESSMENT!$B:$B,A9,ASSESSMENT!$I:$I,"Sí",ASSESSMENT!$K:$K,"&gt;=1")</f>
        <v>0</v>
      </c>
      <c r="E9" s="19">
        <f t="shared" si="0"/>
        <v>0</v>
      </c>
      <c r="F9" s="19">
        <f>IFERROR(SUMIFS(ASSESSMENT!$N:$N,ASSESSMENT!$B:$B,A9)/SUMIFS(ASSESSMENT!$O:$O,ASSESSMENT!$B:$B,A9),0)</f>
        <v>0</v>
      </c>
      <c r="G9" s="2" t="str">
        <f t="shared" si="1"/>
        <v>Sin evaluación suficiente</v>
      </c>
      <c r="H9" s="2">
        <f>COUNTIFS(ASSESSMENT!$B:$B,A9,ASSESSMENT!$P:$P,"Crítico")+COUNTIFS(ASSESSMENT!$B:$B,A9,ASSESSMENT!$P:$P,"Alto")</f>
        <v>0</v>
      </c>
      <c r="I9" s="2" t="str">
        <f t="shared" si="2"/>
        <v>Completar evaluación</v>
      </c>
    </row>
    <row r="10" spans="1:26" ht="21.75" customHeight="1">
      <c r="A10" s="2" t="s">
        <v>251</v>
      </c>
      <c r="B10" s="19">
        <v>0.14000000000000001</v>
      </c>
      <c r="C10" s="20">
        <f>COUNTIFS(ASSESSMENT!$B:$B,A10,ASSESSMENT!$I:$I,"Sí")</f>
        <v>8</v>
      </c>
      <c r="D10" s="20">
        <f>COUNTIFS(ASSESSMENT!$B:$B,A10,ASSESSMENT!$I:$I,"Sí",ASSESSMENT!$K:$K,"&gt;=1")</f>
        <v>0</v>
      </c>
      <c r="E10" s="19">
        <f t="shared" si="0"/>
        <v>0</v>
      </c>
      <c r="F10" s="19">
        <f>IFERROR(SUMIFS(ASSESSMENT!$N:$N,ASSESSMENT!$B:$B,A10)/SUMIFS(ASSESSMENT!$O:$O,ASSESSMENT!$B:$B,A10),0)</f>
        <v>0</v>
      </c>
      <c r="G10" s="2" t="str">
        <f t="shared" si="1"/>
        <v>Sin evaluación suficiente</v>
      </c>
      <c r="H10" s="2">
        <f>COUNTIFS(ASSESSMENT!$B:$B,A10,ASSESSMENT!$P:$P,"Crítico")+COUNTIFS(ASSESSMENT!$B:$B,A10,ASSESSMENT!$P:$P,"Alto")</f>
        <v>0</v>
      </c>
      <c r="I10" s="2" t="str">
        <f t="shared" si="2"/>
        <v>Completar evaluación</v>
      </c>
    </row>
    <row r="11" spans="1:26" ht="21.75" customHeight="1">
      <c r="A11" s="2" t="s">
        <v>293</v>
      </c>
      <c r="B11" s="19">
        <v>0.08</v>
      </c>
      <c r="C11" s="20">
        <f>COUNTIFS(ASSESSMENT!$B:$B,A11,ASSESSMENT!$I:$I,"Sí")</f>
        <v>8</v>
      </c>
      <c r="D11" s="20">
        <f>COUNTIFS(ASSESSMENT!$B:$B,A11,ASSESSMENT!$I:$I,"Sí",ASSESSMENT!$K:$K,"&gt;=1")</f>
        <v>0</v>
      </c>
      <c r="E11" s="19">
        <f t="shared" si="0"/>
        <v>0</v>
      </c>
      <c r="F11" s="19">
        <f>IFERROR(SUMIFS(ASSESSMENT!$N:$N,ASSESSMENT!$B:$B,A11)/SUMIFS(ASSESSMENT!$O:$O,ASSESSMENT!$B:$B,A11),0)</f>
        <v>0</v>
      </c>
      <c r="G11" s="2" t="str">
        <f t="shared" si="1"/>
        <v>Sin evaluación suficiente</v>
      </c>
      <c r="H11" s="2">
        <f>COUNTIFS(ASSESSMENT!$B:$B,A11,ASSESSMENT!$P:$P,"Crítico")+COUNTIFS(ASSESSMENT!$B:$B,A11,ASSESSMENT!$P:$P,"Alto")</f>
        <v>0</v>
      </c>
      <c r="I11" s="2" t="str">
        <f t="shared" si="2"/>
        <v>Completar evaluación</v>
      </c>
    </row>
    <row r="12" spans="1:26" ht="21.75" customHeight="1">
      <c r="A12" s="2" t="s">
        <v>341</v>
      </c>
      <c r="B12" s="19">
        <v>0.11</v>
      </c>
      <c r="C12" s="20">
        <f>COUNTIFS(ASSESSMENT!$B:$B,A12,ASSESSMENT!$I:$I,"Sí")</f>
        <v>8</v>
      </c>
      <c r="D12" s="20">
        <f>COUNTIFS(ASSESSMENT!$B:$B,A12,ASSESSMENT!$I:$I,"Sí",ASSESSMENT!$K:$K,"&gt;=1")</f>
        <v>0</v>
      </c>
      <c r="E12" s="19">
        <f t="shared" si="0"/>
        <v>0</v>
      </c>
      <c r="F12" s="19">
        <f>IFERROR(SUMIFS(ASSESSMENT!$N:$N,ASSESSMENT!$B:$B,A12)/SUMIFS(ASSESSMENT!$O:$O,ASSESSMENT!$B:$B,A12),0)</f>
        <v>0</v>
      </c>
      <c r="G12" s="2" t="str">
        <f t="shared" si="1"/>
        <v>Sin evaluación suficiente</v>
      </c>
      <c r="H12" s="2">
        <f>COUNTIFS(ASSESSMENT!$B:$B,A12,ASSESSMENT!$P:$P,"Crítico")+COUNTIFS(ASSESSMENT!$B:$B,A12,ASSESSMENT!$P:$P,"Alto")</f>
        <v>0</v>
      </c>
      <c r="I12" s="2" t="str">
        <f t="shared" si="2"/>
        <v>Completar evaluación</v>
      </c>
    </row>
    <row r="13" spans="1:26" ht="21.75" customHeight="1">
      <c r="A13" s="2" t="s">
        <v>15</v>
      </c>
      <c r="B13" s="19">
        <v>0.05</v>
      </c>
      <c r="C13" s="20">
        <f>COUNTIFS(ASSESSMENT!$B:$B,A13,ASSESSMENT!$I:$I,"Sí")</f>
        <v>8</v>
      </c>
      <c r="D13" s="20">
        <f>COUNTIFS(ASSESSMENT!$B:$B,A13,ASSESSMENT!$I:$I,"Sí",ASSESSMENT!$K:$K,"&gt;=1")</f>
        <v>0</v>
      </c>
      <c r="E13" s="19">
        <f t="shared" si="0"/>
        <v>0</v>
      </c>
      <c r="F13" s="19">
        <f>IFERROR(SUMIFS(ASSESSMENT!$N:$N,ASSESSMENT!$B:$B,A13)/SUMIFS(ASSESSMENT!$O:$O,ASSESSMENT!$B:$B,A13),0)</f>
        <v>0</v>
      </c>
      <c r="G13" s="2" t="str">
        <f t="shared" si="1"/>
        <v>Sin evaluación suficiente</v>
      </c>
      <c r="H13" s="2">
        <f>COUNTIFS(ASSESSMENT!$B:$B,A13,ASSESSMENT!$P:$P,"Crítico")+COUNTIFS(ASSESSMENT!$B:$B,A13,ASSESSMENT!$P:$P,"Alto")</f>
        <v>0</v>
      </c>
      <c r="I13" s="2" t="str">
        <f t="shared" si="2"/>
        <v>Completar evaluación</v>
      </c>
    </row>
  </sheetData>
  <mergeCells count="1">
    <mergeCell ref="A1:I1"/>
  </mergeCells>
  <conditionalFormatting sqref="F4:F13">
    <cfRule type="dataBar" priority="1">
      <dataBar>
        <cfvo type="min"/>
        <cfvo type="max"/>
        <color rgb="FF5B9BD5"/>
      </dataBar>
    </cfRule>
  </conditionalFormatting>
  <conditionalFormatting sqref="F4:F13">
    <cfRule type="dataBar" priority="2">
      <dataBar>
        <cfvo type="min"/>
        <cfvo type="max"/>
        <color rgb="FF5B9BD5"/>
      </dataBar>
    </cfRule>
  </conditionalFormatting>
  <conditionalFormatting sqref="F4:F13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{71B7640F-7BF6-ADEF-8C9E-18E8A19D7B1D}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B7640F-7BF6-ADEF-8C9E-18E8A19D7B1D}">
            <x14:dataBar>
              <x14:cfvo type="min"/>
              <x14:cfvo type="max"/>
              <x14:negativeFillColor auto="1"/>
              <x14:axisColor auto="1"/>
            </x14:dataBar>
          </x14:cfRule>
          <xm:sqref>F4:F13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/>
  </sheetViews>
  <sheetFormatPr baseColWidth="10" defaultColWidth="8.796875" defaultRowHeight="13.8"/>
  <cols>
    <col min="1" max="1" width="8" customWidth="1"/>
    <col min="2" max="2" width="24" customWidth="1"/>
    <col min="3" max="3" width="48" customWidth="1"/>
    <col min="4" max="4" width="42" customWidth="1"/>
    <col min="5" max="5" width="40" customWidth="1"/>
    <col min="6" max="6" width="16" customWidth="1"/>
  </cols>
  <sheetData>
    <row r="1" spans="1:26" ht="17.399999999999999">
      <c r="A1" s="148" t="s">
        <v>442</v>
      </c>
      <c r="B1" s="148"/>
      <c r="C1" s="148"/>
      <c r="D1" s="148"/>
      <c r="E1" s="148"/>
      <c r="F1" s="148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>
      <c r="A3" s="12" t="s">
        <v>5</v>
      </c>
      <c r="B3" s="12" t="s">
        <v>443</v>
      </c>
      <c r="C3" s="12" t="s">
        <v>444</v>
      </c>
      <c r="D3" s="12" t="s">
        <v>445</v>
      </c>
      <c r="E3" s="12" t="s">
        <v>446</v>
      </c>
      <c r="F3" s="12" t="s">
        <v>447</v>
      </c>
    </row>
    <row r="4" spans="1:26" ht="27.6">
      <c r="A4" s="2">
        <v>1</v>
      </c>
      <c r="B4" s="2" t="s">
        <v>448</v>
      </c>
      <c r="C4" s="2" t="s">
        <v>449</v>
      </c>
      <c r="D4" s="2" t="s">
        <v>450</v>
      </c>
      <c r="E4" s="2" t="s">
        <v>451</v>
      </c>
      <c r="F4" s="2" t="s">
        <v>452</v>
      </c>
    </row>
    <row r="5" spans="1:26" ht="27.6">
      <c r="A5" s="2">
        <v>2</v>
      </c>
      <c r="B5" s="2" t="s">
        <v>453</v>
      </c>
      <c r="C5" s="2" t="s">
        <v>454</v>
      </c>
      <c r="D5" s="2" t="s">
        <v>455</v>
      </c>
      <c r="E5" s="2" t="s">
        <v>456</v>
      </c>
      <c r="F5" s="2" t="s">
        <v>457</v>
      </c>
    </row>
    <row r="6" spans="1:26" ht="27.6">
      <c r="A6" s="2">
        <v>3</v>
      </c>
      <c r="B6" s="2" t="s">
        <v>458</v>
      </c>
      <c r="C6" s="2" t="s">
        <v>459</v>
      </c>
      <c r="D6" s="2" t="s">
        <v>460</v>
      </c>
      <c r="E6" s="2" t="s">
        <v>461</v>
      </c>
      <c r="F6" s="2" t="s">
        <v>462</v>
      </c>
    </row>
    <row r="7" spans="1:26" ht="27.6">
      <c r="A7" s="2">
        <v>4</v>
      </c>
      <c r="B7" s="2" t="s">
        <v>463</v>
      </c>
      <c r="C7" s="2" t="s">
        <v>464</v>
      </c>
      <c r="D7" s="2" t="s">
        <v>465</v>
      </c>
      <c r="E7" s="2" t="s">
        <v>466</v>
      </c>
      <c r="F7" s="2" t="s">
        <v>467</v>
      </c>
    </row>
    <row r="8" spans="1:26" ht="27.6">
      <c r="A8" s="2">
        <v>5</v>
      </c>
      <c r="B8" s="2" t="s">
        <v>468</v>
      </c>
      <c r="C8" s="2" t="s">
        <v>469</v>
      </c>
      <c r="D8" s="2" t="s">
        <v>470</v>
      </c>
      <c r="E8" s="2" t="s">
        <v>471</v>
      </c>
      <c r="F8" s="2" t="s">
        <v>472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"/>
  <sheetViews>
    <sheetView workbookViewId="0"/>
  </sheetViews>
  <sheetFormatPr baseColWidth="10" defaultColWidth="8.796875" defaultRowHeight="13.8"/>
  <cols>
    <col min="1" max="1" width="8" customWidth="1"/>
    <col min="2" max="2" width="34" customWidth="1"/>
    <col min="3" max="3" width="30" customWidth="1"/>
    <col min="4" max="5" width="14" customWidth="1"/>
    <col min="6" max="6" width="46" customWidth="1"/>
    <col min="7" max="7" width="22" customWidth="1"/>
    <col min="8" max="8" width="14" customWidth="1"/>
    <col min="9" max="9" width="32" customWidth="1"/>
    <col min="10" max="10" width="16" customWidth="1"/>
    <col min="11" max="11" width="28" customWidth="1"/>
  </cols>
  <sheetData>
    <row r="1" spans="1:26" ht="17.399999999999999">
      <c r="A1" s="148" t="s">
        <v>473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4.4">
      <c r="A2" s="149" t="s">
        <v>474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</row>
    <row r="3" spans="1:26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26" ht="29.4" customHeight="1">
      <c r="A4" s="1" t="s">
        <v>19</v>
      </c>
      <c r="B4" s="1" t="s">
        <v>2</v>
      </c>
      <c r="C4" s="1" t="s">
        <v>475</v>
      </c>
      <c r="D4" s="1" t="s">
        <v>476</v>
      </c>
      <c r="E4" s="1" t="s">
        <v>477</v>
      </c>
      <c r="F4" s="1" t="s">
        <v>37</v>
      </c>
      <c r="G4" s="1" t="s">
        <v>478</v>
      </c>
      <c r="H4" s="1" t="s">
        <v>479</v>
      </c>
      <c r="I4" s="1" t="s">
        <v>41</v>
      </c>
      <c r="J4" s="1" t="s">
        <v>480</v>
      </c>
      <c r="K4" s="1" t="s">
        <v>43</v>
      </c>
    </row>
    <row r="5" spans="1:26" ht="29.4" customHeight="1">
      <c r="A5" s="2">
        <f>ASSESSMENT!A7</f>
        <v>1</v>
      </c>
      <c r="B5" s="2" t="str">
        <f>ASSESSMENT!B7</f>
        <v>Gobierno y responsabilidad proactiva</v>
      </c>
      <c r="C5" s="2" t="str">
        <f>ASSESSMENT!D7</f>
        <v>Política de protección de datos personales para la empresa</v>
      </c>
      <c r="D5" s="2" t="str">
        <f>ASSESSMENT!P7</f>
        <v>Pendiente</v>
      </c>
      <c r="E5" s="2" t="str">
        <f>ASSESSMENT!U7</f>
        <v>Pendiente</v>
      </c>
      <c r="F5" s="2" t="str">
        <f>ASSESSMENT!T7</f>
        <v>Aprobar o actualizar la política interna, comunicarla formalmente y definir revisión anual.</v>
      </c>
      <c r="G5" s="2">
        <f>ASSESSMENT!V7</f>
        <v>0</v>
      </c>
      <c r="H5" s="2" t="str">
        <f>ASSESSMENT!W7</f>
        <v>Por definir</v>
      </c>
      <c r="I5" s="2">
        <f>ASSESSMENT!X7</f>
        <v>0</v>
      </c>
      <c r="J5" s="2" t="str">
        <f>ASSESSMENT!Y7</f>
        <v>Pendiente</v>
      </c>
      <c r="K5" s="2">
        <f>ASSESSMENT!Z7</f>
        <v>0</v>
      </c>
    </row>
    <row r="6" spans="1:26" ht="29.4" customHeight="1">
      <c r="A6" s="2">
        <f>ASSESSMENT!A8</f>
        <v>2</v>
      </c>
      <c r="B6" s="2" t="str">
        <f>ASSESSMENT!B8</f>
        <v>Gobierno y responsabilidad proactiva</v>
      </c>
      <c r="C6" s="2" t="str">
        <f>ASSESSMENT!D8</f>
        <v>Roles, responsabilidades y sponsor ejecutivo</v>
      </c>
      <c r="D6" s="2" t="str">
        <f>ASSESSMENT!P8</f>
        <v>Pendiente</v>
      </c>
      <c r="E6" s="2" t="str">
        <f>ASSESSMENT!U8</f>
        <v>Pendiente</v>
      </c>
      <c r="F6" s="2" t="str">
        <f>ASSESSMENT!T8</f>
        <v>Definir responsables internos por proceso y formalizar su rol con soporte de gerencia.</v>
      </c>
      <c r="G6" s="2">
        <f>ASSESSMENT!V8</f>
        <v>0</v>
      </c>
      <c r="H6" s="2" t="str">
        <f>ASSESSMENT!W8</f>
        <v>Por definir</v>
      </c>
      <c r="I6" s="2">
        <f>ASSESSMENT!X8</f>
        <v>0</v>
      </c>
      <c r="J6" s="2" t="str">
        <f>ASSESSMENT!Y8</f>
        <v>Pendiente</v>
      </c>
      <c r="K6" s="2">
        <f>ASSESSMENT!Z8</f>
        <v>0</v>
      </c>
    </row>
    <row r="7" spans="1:26" ht="29.4" customHeight="1">
      <c r="A7" s="2">
        <f>ASSESSMENT!A9</f>
        <v>3</v>
      </c>
      <c r="B7" s="2" t="str">
        <f>ASSESSMENT!B9</f>
        <v>Gobierno y responsabilidad proactiva</v>
      </c>
      <c r="C7" s="2" t="str">
        <f>ASSESSMENT!D9</f>
        <v>Evaluación de aplicabilidad y designación del DPD</v>
      </c>
      <c r="D7" s="2" t="str">
        <f>ASSESSMENT!P9</f>
        <v>Pendiente</v>
      </c>
      <c r="E7" s="2" t="str">
        <f>ASSESSMENT!U9</f>
        <v>Pendiente</v>
      </c>
      <c r="F7" s="2" t="str">
        <f>ASSESSMENT!T9</f>
        <v>Documentar la evaluación de aplicabilidad del DPD y, si corresponde, formalizar nombramiento, registro, canal y alcance.</v>
      </c>
      <c r="G7" s="2">
        <f>ASSESSMENT!V9</f>
        <v>0</v>
      </c>
      <c r="H7" s="2" t="str">
        <f>ASSESSMENT!W9</f>
        <v>Por definir</v>
      </c>
      <c r="I7" s="2">
        <f>ASSESSMENT!X9</f>
        <v>0</v>
      </c>
      <c r="J7" s="2" t="str">
        <f>ASSESSMENT!Y9</f>
        <v>Pendiente</v>
      </c>
      <c r="K7" s="2">
        <f>ASSESSMENT!Z9</f>
        <v>0</v>
      </c>
    </row>
    <row r="8" spans="1:26" ht="29.4" customHeight="1">
      <c r="A8" s="2">
        <f>ASSESSMENT!A10</f>
        <v>4</v>
      </c>
      <c r="B8" s="2" t="str">
        <f>ASSESSMENT!B10</f>
        <v>Gobierno y responsabilidad proactiva</v>
      </c>
      <c r="C8" s="2" t="str">
        <f>ASSESSMENT!D10</f>
        <v>Independencia, recursos y seguimiento del DPD cuando aplique</v>
      </c>
      <c r="D8" s="2" t="str">
        <f>ASSESSMENT!P10</f>
        <v>Pendiente</v>
      </c>
      <c r="E8" s="2" t="str">
        <f>ASSESSMENT!U10</f>
        <v>Pendiente</v>
      </c>
      <c r="F8" s="2" t="str">
        <f>ASSESSMENT!T10</f>
        <v>Formalizar independencia, línea de reporte, recursos y seguimiento de recomendaciones del DPD cuando aplique.</v>
      </c>
      <c r="G8" s="2">
        <f>ASSESSMENT!V10</f>
        <v>0</v>
      </c>
      <c r="H8" s="2" t="str">
        <f>ASSESSMENT!W10</f>
        <v>Por definir</v>
      </c>
      <c r="I8" s="2">
        <f>ASSESSMENT!X10</f>
        <v>0</v>
      </c>
      <c r="J8" s="2" t="str">
        <f>ASSESSMENT!Y10</f>
        <v>Pendiente</v>
      </c>
      <c r="K8" s="2">
        <f>ASSESSMENT!Z10</f>
        <v>0</v>
      </c>
    </row>
    <row r="9" spans="1:26" ht="29.4" customHeight="1">
      <c r="A9" s="2">
        <f>ASSESSMENT!A11</f>
        <v>5</v>
      </c>
      <c r="B9" s="2" t="str">
        <f>ASSESSMENT!B11</f>
        <v>Gobierno y responsabilidad proactiva</v>
      </c>
      <c r="C9" s="2" t="str">
        <f>ASSESSMENT!D11</f>
        <v>Mapa de obligaciones y base normativa aplicable</v>
      </c>
      <c r="D9" s="2" t="str">
        <f>ASSESSMENT!P11</f>
        <v>Pendiente</v>
      </c>
      <c r="E9" s="2" t="str">
        <f>ASSESSMENT!U11</f>
        <v>Pendiente</v>
      </c>
      <c r="F9" s="2" t="str">
        <f>ASSESSMENT!T11</f>
        <v>Elaborar matriz de obligaciones aplicables y vincularlas con controles internos.</v>
      </c>
      <c r="G9" s="2">
        <f>ASSESSMENT!V11</f>
        <v>0</v>
      </c>
      <c r="H9" s="2" t="str">
        <f>ASSESSMENT!W11</f>
        <v>Por definir</v>
      </c>
      <c r="I9" s="2">
        <f>ASSESSMENT!X11</f>
        <v>0</v>
      </c>
      <c r="J9" s="2" t="str">
        <f>ASSESSMENT!Y11</f>
        <v>Pendiente</v>
      </c>
      <c r="K9" s="2">
        <f>ASSESSMENT!Z11</f>
        <v>0</v>
      </c>
    </row>
    <row r="10" spans="1:26" ht="29.4" customHeight="1">
      <c r="A10" s="2">
        <f>ASSESSMENT!A12</f>
        <v>6</v>
      </c>
      <c r="B10" s="2" t="str">
        <f>ASSESSMENT!B12</f>
        <v>Gobierno y responsabilidad proactiva</v>
      </c>
      <c r="C10" s="2" t="str">
        <f>ASSESSMENT!D12</f>
        <v>Presupuesto y recursos</v>
      </c>
      <c r="D10" s="2" t="str">
        <f>ASSESSMENT!P12</f>
        <v>Pendiente</v>
      </c>
      <c r="E10" s="2" t="str">
        <f>ASSESSMENT!U12</f>
        <v>Pendiente</v>
      </c>
      <c r="F10" s="2" t="str">
        <f>ASSESSMENT!T12</f>
        <v>Definir presupuesto proporcional al riesgo para sostener cumplimiento y seguridad.</v>
      </c>
      <c r="G10" s="2">
        <f>ASSESSMENT!V12</f>
        <v>0</v>
      </c>
      <c r="H10" s="2" t="str">
        <f>ASSESSMENT!W12</f>
        <v>Por definir</v>
      </c>
      <c r="I10" s="2">
        <f>ASSESSMENT!X12</f>
        <v>0</v>
      </c>
      <c r="J10" s="2" t="str">
        <f>ASSESSMENT!Y12</f>
        <v>Pendiente</v>
      </c>
      <c r="K10" s="2">
        <f>ASSESSMENT!Z12</f>
        <v>0</v>
      </c>
    </row>
    <row r="11" spans="1:26" ht="29.4" customHeight="1">
      <c r="A11" s="2">
        <f>ASSESSMENT!A13</f>
        <v>7</v>
      </c>
      <c r="B11" s="2" t="str">
        <f>ASSESSMENT!B13</f>
        <v>Gobierno y responsabilidad proactiva</v>
      </c>
      <c r="C11" s="2" t="str">
        <f>ASSESSMENT!D13</f>
        <v>Gestión documental del SGPDP</v>
      </c>
      <c r="D11" s="2" t="str">
        <f>ASSESSMENT!P13</f>
        <v>Pendiente</v>
      </c>
      <c r="E11" s="2" t="str">
        <f>ASSESSMENT!U13</f>
        <v>Pendiente</v>
      </c>
      <c r="F11" s="2" t="str">
        <f>ASSESSMENT!T13</f>
        <v>Crear control maestro documental para políticas, matrices, procedimientos y evidencias.</v>
      </c>
      <c r="G11" s="2">
        <f>ASSESSMENT!V13</f>
        <v>0</v>
      </c>
      <c r="H11" s="2" t="str">
        <f>ASSESSMENT!W13</f>
        <v>Por definir</v>
      </c>
      <c r="I11" s="2">
        <f>ASSESSMENT!X13</f>
        <v>0</v>
      </c>
      <c r="J11" s="2" t="str">
        <f>ASSESSMENT!Y13</f>
        <v>Pendiente</v>
      </c>
      <c r="K11" s="2">
        <f>ASSESSMENT!Z13</f>
        <v>0</v>
      </c>
    </row>
    <row r="12" spans="1:26" ht="29.4" customHeight="1">
      <c r="A12" s="2">
        <f>ASSESSMENT!A14</f>
        <v>8</v>
      </c>
      <c r="B12" s="2" t="str">
        <f>ASSESSMENT!B14</f>
        <v>Gobierno y responsabilidad proactiva</v>
      </c>
      <c r="C12" s="2" t="str">
        <f>ASSESSMENT!D14</f>
        <v>Indicadores y reportes a dirección</v>
      </c>
      <c r="D12" s="2" t="str">
        <f>ASSESSMENT!P14</f>
        <v>Pendiente</v>
      </c>
      <c r="E12" s="2" t="str">
        <f>ASSESSMENT!U14</f>
        <v>Pendiente</v>
      </c>
      <c r="F12" s="2" t="str">
        <f>ASSESSMENT!T14</f>
        <v>Definir indicadores mínimos y reportarlos periódicamente a dirección.</v>
      </c>
      <c r="G12" s="2">
        <f>ASSESSMENT!V14</f>
        <v>0</v>
      </c>
      <c r="H12" s="2" t="str">
        <f>ASSESSMENT!W14</f>
        <v>Por definir</v>
      </c>
      <c r="I12" s="2">
        <f>ASSESSMENT!X14</f>
        <v>0</v>
      </c>
      <c r="J12" s="2" t="str">
        <f>ASSESSMENT!Y14</f>
        <v>Pendiente</v>
      </c>
      <c r="K12" s="2">
        <f>ASSESSMENT!Z14</f>
        <v>0</v>
      </c>
    </row>
    <row r="13" spans="1:26" ht="29.4" customHeight="1">
      <c r="A13" s="2">
        <f>ASSESSMENT!A15</f>
        <v>9</v>
      </c>
      <c r="B13" s="2" t="str">
        <f>ASSESSMENT!B15</f>
        <v>Inventario, RAT, finalidades y legitimación</v>
      </c>
      <c r="C13" s="2" t="str">
        <f>ASSESSMENT!D15</f>
        <v>Inventario de tratamientos de la empresa</v>
      </c>
      <c r="D13" s="2" t="str">
        <f>ASSESSMENT!P15</f>
        <v>Pendiente</v>
      </c>
      <c r="E13" s="2" t="str">
        <f>ASSESSMENT!U15</f>
        <v>Pendiente</v>
      </c>
      <c r="F13" s="2" t="str">
        <f>ASSESSMENT!T15</f>
        <v>Levantar o actualizar inventario de tratamientos con dueños por proceso.</v>
      </c>
      <c r="G13" s="2">
        <f>ASSESSMENT!V15</f>
        <v>0</v>
      </c>
      <c r="H13" s="2" t="str">
        <f>ASSESSMENT!W15</f>
        <v>Por definir</v>
      </c>
      <c r="I13" s="2">
        <f>ASSESSMENT!X15</f>
        <v>0</v>
      </c>
      <c r="J13" s="2" t="str">
        <f>ASSESSMENT!Y15</f>
        <v>Pendiente</v>
      </c>
      <c r="K13" s="2">
        <f>ASSESSMENT!Z15</f>
        <v>0</v>
      </c>
    </row>
    <row r="14" spans="1:26" ht="29.4" customHeight="1">
      <c r="A14" s="2">
        <f>ASSESSMENT!A16</f>
        <v>10</v>
      </c>
      <c r="B14" s="2" t="str">
        <f>ASSESSMENT!B16</f>
        <v>Inventario, RAT, finalidades y legitimación</v>
      </c>
      <c r="C14" s="2" t="str">
        <f>ASSESSMENT!D16</f>
        <v>Registro de Actividades de Tratamiento (RAT)</v>
      </c>
      <c r="D14" s="2" t="str">
        <f>ASSESSMENT!P16</f>
        <v>Pendiente</v>
      </c>
      <c r="E14" s="2" t="str">
        <f>ASSESSMENT!U16</f>
        <v>Pendiente</v>
      </c>
      <c r="F14" s="2" t="str">
        <f>ASSESSMENT!T16</f>
        <v>Construir o actualizar RAT con base en procesos reales y evidencia de validación.</v>
      </c>
      <c r="G14" s="2">
        <f>ASSESSMENT!V16</f>
        <v>0</v>
      </c>
      <c r="H14" s="2" t="str">
        <f>ASSESSMENT!W16</f>
        <v>Por definir</v>
      </c>
      <c r="I14" s="2">
        <f>ASSESSMENT!X16</f>
        <v>0</v>
      </c>
      <c r="J14" s="2" t="str">
        <f>ASSESSMENT!Y16</f>
        <v>Pendiente</v>
      </c>
      <c r="K14" s="2">
        <f>ASSESSMENT!Z16</f>
        <v>0</v>
      </c>
    </row>
    <row r="15" spans="1:26" ht="29.4" customHeight="1">
      <c r="A15" s="2">
        <f>ASSESSMENT!A17</f>
        <v>11</v>
      </c>
      <c r="B15" s="2" t="str">
        <f>ASSESSMENT!B17</f>
        <v>Inventario, RAT, finalidades y legitimación</v>
      </c>
      <c r="C15" s="2" t="str">
        <f>ASSESSMENT!D17</f>
        <v>Finalidades específicas y documentadas</v>
      </c>
      <c r="D15" s="2" t="str">
        <f>ASSESSMENT!P17</f>
        <v>Pendiente</v>
      </c>
      <c r="E15" s="2" t="str">
        <f>ASSESSMENT!U17</f>
        <v>Pendiente</v>
      </c>
      <c r="F15" s="2" t="str">
        <f>ASSESSMENT!T17</f>
        <v>Depurar finalidades y eliminar descripciones genéricas o incompatibles.</v>
      </c>
      <c r="G15" s="2">
        <f>ASSESSMENT!V17</f>
        <v>0</v>
      </c>
      <c r="H15" s="2" t="str">
        <f>ASSESSMENT!W17</f>
        <v>Por definir</v>
      </c>
      <c r="I15" s="2">
        <f>ASSESSMENT!X17</f>
        <v>0</v>
      </c>
      <c r="J15" s="2" t="str">
        <f>ASSESSMENT!Y17</f>
        <v>Pendiente</v>
      </c>
      <c r="K15" s="2">
        <f>ASSESSMENT!Z17</f>
        <v>0</v>
      </c>
    </row>
    <row r="16" spans="1:26" ht="29.4" customHeight="1">
      <c r="A16" s="2">
        <f>ASSESSMENT!A18</f>
        <v>12</v>
      </c>
      <c r="B16" s="2" t="str">
        <f>ASSESSMENT!B18</f>
        <v>Inventario, RAT, finalidades y legitimación</v>
      </c>
      <c r="C16" s="2" t="str">
        <f>ASSESSMENT!D18</f>
        <v>Base de legitimación por tratamiento</v>
      </c>
      <c r="D16" s="2" t="str">
        <f>ASSESSMENT!P18</f>
        <v>Pendiente</v>
      </c>
      <c r="E16" s="2" t="str">
        <f>ASSESSMENT!U18</f>
        <v>Pendiente</v>
      </c>
      <c r="F16" s="2" t="str">
        <f>ASSESSMENT!T18</f>
        <v>Validar bases de legitimación por proceso y documentar rationale.</v>
      </c>
      <c r="G16" s="2">
        <f>ASSESSMENT!V18</f>
        <v>0</v>
      </c>
      <c r="H16" s="2" t="str">
        <f>ASSESSMENT!W18</f>
        <v>Por definir</v>
      </c>
      <c r="I16" s="2">
        <f>ASSESSMENT!X18</f>
        <v>0</v>
      </c>
      <c r="J16" s="2" t="str">
        <f>ASSESSMENT!Y18</f>
        <v>Pendiente</v>
      </c>
      <c r="K16" s="2">
        <f>ASSESSMENT!Z18</f>
        <v>0</v>
      </c>
    </row>
    <row r="17" spans="1:11" ht="29.4" customHeight="1">
      <c r="A17" s="2">
        <f>ASSESSMENT!A19</f>
        <v>13</v>
      </c>
      <c r="B17" s="2" t="str">
        <f>ASSESSMENT!B19</f>
        <v>Inventario, RAT, finalidades y legitimación</v>
      </c>
      <c r="C17" s="2" t="str">
        <f>ASSESSMENT!D19</f>
        <v>Datos sensibles y datos personales de mayor riesgo</v>
      </c>
      <c r="D17" s="2" t="str">
        <f>ASSESSMENT!P19</f>
        <v>Pendiente</v>
      </c>
      <c r="E17" s="2" t="str">
        <f>ASSESSMENT!U19</f>
        <v>Pendiente</v>
      </c>
      <c r="F17" s="2" t="str">
        <f>ASSESSMENT!T19</f>
        <v>Clasificar datos sensibles y definir controles reforzados por tratamiento.</v>
      </c>
      <c r="G17" s="2">
        <f>ASSESSMENT!V19</f>
        <v>0</v>
      </c>
      <c r="H17" s="2" t="str">
        <f>ASSESSMENT!W19</f>
        <v>Por definir</v>
      </c>
      <c r="I17" s="2">
        <f>ASSESSMENT!X19</f>
        <v>0</v>
      </c>
      <c r="J17" s="2" t="str">
        <f>ASSESSMENT!Y19</f>
        <v>Pendiente</v>
      </c>
      <c r="K17" s="2">
        <f>ASSESSMENT!Z19</f>
        <v>0</v>
      </c>
    </row>
    <row r="18" spans="1:11" ht="29.4" customHeight="1">
      <c r="A18" s="2">
        <f>ASSESSMENT!A20</f>
        <v>14</v>
      </c>
      <c r="B18" s="2" t="str">
        <f>ASSESSMENT!B20</f>
        <v>Inventario, RAT, finalidades y legitimación</v>
      </c>
      <c r="C18" s="2" t="str">
        <f>ASSESSMENT!D20</f>
        <v>Plazos de conservación</v>
      </c>
      <c r="D18" s="2" t="str">
        <f>ASSESSMENT!P20</f>
        <v>Pendiente</v>
      </c>
      <c r="E18" s="2" t="str">
        <f>ASSESSMENT!U20</f>
        <v>Pendiente</v>
      </c>
      <c r="F18" s="2" t="str">
        <f>ASSESSMENT!T20</f>
        <v>Definir tabla de conservación y procedimiento de eliminación segura.</v>
      </c>
      <c r="G18" s="2">
        <f>ASSESSMENT!V20</f>
        <v>0</v>
      </c>
      <c r="H18" s="2" t="str">
        <f>ASSESSMENT!W20</f>
        <v>Por definir</v>
      </c>
      <c r="I18" s="2">
        <f>ASSESSMENT!X20</f>
        <v>0</v>
      </c>
      <c r="J18" s="2" t="str">
        <f>ASSESSMENT!Y20</f>
        <v>Pendiente</v>
      </c>
      <c r="K18" s="2">
        <f>ASSESSMENT!Z20</f>
        <v>0</v>
      </c>
    </row>
    <row r="19" spans="1:11" ht="29.4" customHeight="1">
      <c r="A19" s="2">
        <f>ASSESSMENT!A21</f>
        <v>15</v>
      </c>
      <c r="B19" s="2" t="str">
        <f>ASSESSMENT!B21</f>
        <v>Inventario, RAT, finalidades y legitimación</v>
      </c>
      <c r="C19" s="2" t="str">
        <f>ASSESSMENT!D21</f>
        <v>Minimización de datos</v>
      </c>
      <c r="D19" s="2" t="str">
        <f>ASSESSMENT!P21</f>
        <v>Pendiente</v>
      </c>
      <c r="E19" s="2" t="str">
        <f>ASSESSMENT!U21</f>
        <v>Pendiente</v>
      </c>
      <c r="F19" s="2" t="str">
        <f>ASSESSMENT!T21</f>
        <v>Revisar formularios y eliminar campos no necesarios.</v>
      </c>
      <c r="G19" s="2">
        <f>ASSESSMENT!V21</f>
        <v>0</v>
      </c>
      <c r="H19" s="2" t="str">
        <f>ASSESSMENT!W21</f>
        <v>Por definir</v>
      </c>
      <c r="I19" s="2">
        <f>ASSESSMENT!X21</f>
        <v>0</v>
      </c>
      <c r="J19" s="2" t="str">
        <f>ASSESSMENT!Y21</f>
        <v>Pendiente</v>
      </c>
      <c r="K19" s="2">
        <f>ASSESSMENT!Z21</f>
        <v>0</v>
      </c>
    </row>
    <row r="20" spans="1:11" ht="29.4" customHeight="1">
      <c r="A20" s="2">
        <f>ASSESSMENT!A22</f>
        <v>16</v>
      </c>
      <c r="B20" s="2" t="str">
        <f>ASSESSMENT!B22</f>
        <v>Inventario, RAT, finalidades y legitimación</v>
      </c>
      <c r="C20" s="2" t="str">
        <f>ASSESSMENT!D22</f>
        <v>Actualización del RAT por cambios</v>
      </c>
      <c r="D20" s="2" t="str">
        <f>ASSESSMENT!P22</f>
        <v>Pendiente</v>
      </c>
      <c r="E20" s="2" t="str">
        <f>ASSESSMENT!U22</f>
        <v>Pendiente</v>
      </c>
      <c r="F20" s="2" t="str">
        <f>ASSESSMENT!T22</f>
        <v>Incluir protección de datos en el proceso de gestión de cambios.</v>
      </c>
      <c r="G20" s="2">
        <f>ASSESSMENT!V22</f>
        <v>0</v>
      </c>
      <c r="H20" s="2" t="str">
        <f>ASSESSMENT!W22</f>
        <v>Por definir</v>
      </c>
      <c r="I20" s="2">
        <f>ASSESSMENT!X22</f>
        <v>0</v>
      </c>
      <c r="J20" s="2" t="str">
        <f>ASSESSMENT!Y22</f>
        <v>Pendiente</v>
      </c>
      <c r="K20" s="2">
        <f>ASSESSMENT!Z22</f>
        <v>0</v>
      </c>
    </row>
    <row r="21" spans="1:11" ht="29.4" customHeight="1">
      <c r="A21" s="2">
        <f>ASSESSMENT!A23</f>
        <v>17</v>
      </c>
      <c r="B21" s="2" t="str">
        <f>ASSESSMENT!B23</f>
        <v>Transparencia e información al titular</v>
      </c>
      <c r="C21" s="2" t="str">
        <f>ASSESSMENT!D23</f>
        <v>Aviso de privacidad para clientes, prospectos y usuarios</v>
      </c>
      <c r="D21" s="2" t="str">
        <f>ASSESSMENT!P23</f>
        <v>Pendiente</v>
      </c>
      <c r="E21" s="2" t="str">
        <f>ASSESSMENT!U23</f>
        <v>Pendiente</v>
      </c>
      <c r="F21" s="2" t="str">
        <f>ASSESSMENT!T23</f>
        <v>Actualizar aviso de privacidad y asegurar disponibilidad en canales físicos y digitales.</v>
      </c>
      <c r="G21" s="2">
        <f>ASSESSMENT!V23</f>
        <v>0</v>
      </c>
      <c r="H21" s="2" t="str">
        <f>ASSESSMENT!W23</f>
        <v>Por definir</v>
      </c>
      <c r="I21" s="2">
        <f>ASSESSMENT!X23</f>
        <v>0</v>
      </c>
      <c r="J21" s="2" t="str">
        <f>ASSESSMENT!Y23</f>
        <v>Pendiente</v>
      </c>
      <c r="K21" s="2">
        <f>ASSESSMENT!Z23</f>
        <v>0</v>
      </c>
    </row>
    <row r="22" spans="1:11" ht="29.4" customHeight="1">
      <c r="A22" s="2">
        <f>ASSESSMENT!A24</f>
        <v>18</v>
      </c>
      <c r="B22" s="2" t="str">
        <f>ASSESSMENT!B24</f>
        <v>Transparencia e información al titular</v>
      </c>
      <c r="C22" s="2" t="str">
        <f>ASSESSMENT!D24</f>
        <v>Avisos por canal de recolección</v>
      </c>
      <c r="D22" s="2" t="str">
        <f>ASSESSMENT!P24</f>
        <v>Pendiente</v>
      </c>
      <c r="E22" s="2" t="str">
        <f>ASSESSMENT!U24</f>
        <v>Pendiente</v>
      </c>
      <c r="F22" s="2" t="str">
        <f>ASSESSMENT!T24</f>
        <v>Incorporar textos cortos de privacidad en cada canal de recolección.</v>
      </c>
      <c r="G22" s="2">
        <f>ASSESSMENT!V24</f>
        <v>0</v>
      </c>
      <c r="H22" s="2" t="str">
        <f>ASSESSMENT!W24</f>
        <v>Por definir</v>
      </c>
      <c r="I22" s="2">
        <f>ASSESSMENT!X24</f>
        <v>0</v>
      </c>
      <c r="J22" s="2" t="str">
        <f>ASSESSMENT!Y24</f>
        <v>Pendiente</v>
      </c>
      <c r="K22" s="2">
        <f>ASSESSMENT!Z24</f>
        <v>0</v>
      </c>
    </row>
    <row r="23" spans="1:11" ht="29.4" customHeight="1">
      <c r="A23" s="2">
        <f>ASSESSMENT!A25</f>
        <v>19</v>
      </c>
      <c r="B23" s="2" t="str">
        <f>ASSESSMENT!B25</f>
        <v>Transparencia e información al titular</v>
      </c>
      <c r="C23" s="2" t="str">
        <f>ASSESSMENT!D25</f>
        <v>Lenguaje claro y no excesivamente jurídico</v>
      </c>
      <c r="D23" s="2" t="str">
        <f>ASSESSMENT!P25</f>
        <v>Pendiente</v>
      </c>
      <c r="E23" s="2" t="str">
        <f>ASSESSMENT!U25</f>
        <v>Pendiente</v>
      </c>
      <c r="F23" s="2" t="str">
        <f>ASSESSMENT!T25</f>
        <v>Redactar avisos en lenguaje claro, con versión breve y completa.</v>
      </c>
      <c r="G23" s="2">
        <f>ASSESSMENT!V25</f>
        <v>0</v>
      </c>
      <c r="H23" s="2" t="str">
        <f>ASSESSMENT!W25</f>
        <v>Por definir</v>
      </c>
      <c r="I23" s="2">
        <f>ASSESSMENT!X25</f>
        <v>0</v>
      </c>
      <c r="J23" s="2" t="str">
        <f>ASSESSMENT!Y25</f>
        <v>Pendiente</v>
      </c>
      <c r="K23" s="2">
        <f>ASSESSMENT!Z25</f>
        <v>0</v>
      </c>
    </row>
    <row r="24" spans="1:11" ht="29.4" customHeight="1">
      <c r="A24" s="2">
        <f>ASSESSMENT!A26</f>
        <v>20</v>
      </c>
      <c r="B24" s="2" t="str">
        <f>ASSESSMENT!B26</f>
        <v>Transparencia e información al titular</v>
      </c>
      <c r="C24" s="2" t="str">
        <f>ASSESSMENT!D26</f>
        <v>Consentimiento informado cuando aplique</v>
      </c>
      <c r="D24" s="2" t="str">
        <f>ASSESSMENT!P26</f>
        <v>Pendiente</v>
      </c>
      <c r="E24" s="2" t="str">
        <f>ASSESSMENT!U26</f>
        <v>Pendiente</v>
      </c>
      <c r="F24" s="2" t="str">
        <f>ASSESSMENT!T26</f>
        <v>Revisar usos que requieren consentimiento y separar autorizaciones específicas.</v>
      </c>
      <c r="G24" s="2">
        <f>ASSESSMENT!V26</f>
        <v>0</v>
      </c>
      <c r="H24" s="2" t="str">
        <f>ASSESSMENT!W26</f>
        <v>Por definir</v>
      </c>
      <c r="I24" s="2">
        <f>ASSESSMENT!X26</f>
        <v>0</v>
      </c>
      <c r="J24" s="2" t="str">
        <f>ASSESSMENT!Y26</f>
        <v>Pendiente</v>
      </c>
      <c r="K24" s="2">
        <f>ASSESSMENT!Z26</f>
        <v>0</v>
      </c>
    </row>
    <row r="25" spans="1:11" ht="29.4" customHeight="1">
      <c r="A25" s="2">
        <f>ASSESSMENT!A27</f>
        <v>21</v>
      </c>
      <c r="B25" s="2" t="str">
        <f>ASSESSMENT!B27</f>
        <v>Transparencia e información al titular</v>
      </c>
      <c r="C25" s="2" t="str">
        <f>ASSESSMENT!D27</f>
        <v>Canales digitales y web</v>
      </c>
      <c r="D25" s="2" t="str">
        <f>ASSESSMENT!P27</f>
        <v>Pendiente</v>
      </c>
      <c r="E25" s="2" t="str">
        <f>ASSESSMENT!U27</f>
        <v>Pendiente</v>
      </c>
      <c r="F25" s="2" t="str">
        <f>ASSESSMENT!T27</f>
        <v>Ajustar formularios web y publicar aviso de privacidad actualizado.</v>
      </c>
      <c r="G25" s="2">
        <f>ASSESSMENT!V27</f>
        <v>0</v>
      </c>
      <c r="H25" s="2" t="str">
        <f>ASSESSMENT!W27</f>
        <v>Por definir</v>
      </c>
      <c r="I25" s="2">
        <f>ASSESSMENT!X27</f>
        <v>0</v>
      </c>
      <c r="J25" s="2" t="str">
        <f>ASSESSMENT!Y27</f>
        <v>Pendiente</v>
      </c>
      <c r="K25" s="2">
        <f>ASSESSMENT!Z27</f>
        <v>0</v>
      </c>
    </row>
    <row r="26" spans="1:11" ht="29.4" customHeight="1">
      <c r="A26" s="2">
        <f>ASSESSMENT!A28</f>
        <v>22</v>
      </c>
      <c r="B26" s="2" t="str">
        <f>ASSESSMENT!B28</f>
        <v>Transparencia e información al titular</v>
      </c>
      <c r="C26" s="2" t="str">
        <f>ASSESSMENT!D28</f>
        <v>Comunicación por mensajería instantánea</v>
      </c>
      <c r="D26" s="2" t="str">
        <f>ASSESSMENT!P28</f>
        <v>Pendiente</v>
      </c>
      <c r="E26" s="2" t="str">
        <f>ASSESSMENT!U28</f>
        <v>Pendiente</v>
      </c>
      <c r="F26" s="2" t="str">
        <f>ASSESSMENT!T28</f>
        <v>Implementar guía de mensajería y mensajes de privacidad por canal.</v>
      </c>
      <c r="G26" s="2">
        <f>ASSESSMENT!V28</f>
        <v>0</v>
      </c>
      <c r="H26" s="2" t="str">
        <f>ASSESSMENT!W28</f>
        <v>Por definir</v>
      </c>
      <c r="I26" s="2">
        <f>ASSESSMENT!X28</f>
        <v>0</v>
      </c>
      <c r="J26" s="2" t="str">
        <f>ASSESSMENT!Y28</f>
        <v>Pendiente</v>
      </c>
      <c r="K26" s="2">
        <f>ASSESSMENT!Z28</f>
        <v>0</v>
      </c>
    </row>
    <row r="27" spans="1:11" ht="29.4" customHeight="1">
      <c r="A27" s="2">
        <f>ASSESSMENT!A29</f>
        <v>23</v>
      </c>
      <c r="B27" s="2" t="str">
        <f>ASSESSMENT!B29</f>
        <v>Transparencia e información al titular</v>
      </c>
      <c r="C27" s="2" t="str">
        <f>ASSESSMENT!D29</f>
        <v>Aviso para colaboradores y candidatos</v>
      </c>
      <c r="D27" s="2" t="str">
        <f>ASSESSMENT!P29</f>
        <v>Pendiente</v>
      </c>
      <c r="E27" s="2" t="str">
        <f>ASSESSMENT!U29</f>
        <v>Pendiente</v>
      </c>
      <c r="F27" s="2" t="str">
        <f>ASSESSMENT!T29</f>
        <v>Implementar aviso de privacidad laboral y de selección.</v>
      </c>
      <c r="G27" s="2">
        <f>ASSESSMENT!V29</f>
        <v>0</v>
      </c>
      <c r="H27" s="2" t="str">
        <f>ASSESSMENT!W29</f>
        <v>Por definir</v>
      </c>
      <c r="I27" s="2">
        <f>ASSESSMENT!X29</f>
        <v>0</v>
      </c>
      <c r="J27" s="2" t="str">
        <f>ASSESSMENT!Y29</f>
        <v>Pendiente</v>
      </c>
      <c r="K27" s="2">
        <f>ASSESSMENT!Z29</f>
        <v>0</v>
      </c>
    </row>
    <row r="28" spans="1:11" ht="29.4" customHeight="1">
      <c r="A28" s="2">
        <f>ASSESSMENT!A30</f>
        <v>24</v>
      </c>
      <c r="B28" s="2" t="str">
        <f>ASSESSMENT!B30</f>
        <v>Transparencia e información al titular</v>
      </c>
      <c r="C28" s="2" t="str">
        <f>ASSESSMENT!D30</f>
        <v>Videovigilancia y controles de acceso físico</v>
      </c>
      <c r="D28" s="2" t="str">
        <f>ASSESSMENT!P30</f>
        <v>Pendiente</v>
      </c>
      <c r="E28" s="2" t="str">
        <f>ASSESSMENT!U30</f>
        <v>Pendiente</v>
      </c>
      <c r="F28" s="2" t="str">
        <f>ASSESSMENT!T30</f>
        <v>Regular videovigilancia y colocar avisos visibles.</v>
      </c>
      <c r="G28" s="2">
        <f>ASSESSMENT!V30</f>
        <v>0</v>
      </c>
      <c r="H28" s="2" t="str">
        <f>ASSESSMENT!W30</f>
        <v>Por definir</v>
      </c>
      <c r="I28" s="2">
        <f>ASSESSMENT!X30</f>
        <v>0</v>
      </c>
      <c r="J28" s="2" t="str">
        <f>ASSESSMENT!Y30</f>
        <v>Pendiente</v>
      </c>
      <c r="K28" s="2">
        <f>ASSESSMENT!Z30</f>
        <v>0</v>
      </c>
    </row>
    <row r="29" spans="1:11" ht="29.4" customHeight="1">
      <c r="A29" s="2">
        <f>ASSESSMENT!A31</f>
        <v>25</v>
      </c>
      <c r="B29" s="2" t="str">
        <f>ASSESSMENT!B31</f>
        <v>Derechos de titulares</v>
      </c>
      <c r="C29" s="2" t="str">
        <f>ASSESSMENT!D31</f>
        <v>Procedimiento de derechos de titulares</v>
      </c>
      <c r="D29" s="2" t="str">
        <f>ASSESSMENT!P31</f>
        <v>Pendiente</v>
      </c>
      <c r="E29" s="2" t="str">
        <f>ASSESSMENT!U31</f>
        <v>Pendiente</v>
      </c>
      <c r="F29" s="2" t="str">
        <f>ASSESSMENT!T31</f>
        <v>Crear o actualizar procedimiento de atención de derechos.</v>
      </c>
      <c r="G29" s="2">
        <f>ASSESSMENT!V31</f>
        <v>0</v>
      </c>
      <c r="H29" s="2" t="str">
        <f>ASSESSMENT!W31</f>
        <v>Por definir</v>
      </c>
      <c r="I29" s="2">
        <f>ASSESSMENT!X31</f>
        <v>0</v>
      </c>
      <c r="J29" s="2" t="str">
        <f>ASSESSMENT!Y31</f>
        <v>Pendiente</v>
      </c>
      <c r="K29" s="2">
        <f>ASSESSMENT!Z31</f>
        <v>0</v>
      </c>
    </row>
    <row r="30" spans="1:11" ht="29.4" customHeight="1">
      <c r="A30" s="2">
        <f>ASSESSMENT!A32</f>
        <v>26</v>
      </c>
      <c r="B30" s="2" t="str">
        <f>ASSESSMENT!B32</f>
        <v>Derechos de titulares</v>
      </c>
      <c r="C30" s="2" t="str">
        <f>ASSESSMENT!D32</f>
        <v>Canal visible para solicitudes</v>
      </c>
      <c r="D30" s="2" t="str">
        <f>ASSESSMENT!P32</f>
        <v>Pendiente</v>
      </c>
      <c r="E30" s="2" t="str">
        <f>ASSESSMENT!U32</f>
        <v>Pendiente</v>
      </c>
      <c r="F30" s="2" t="str">
        <f>ASSESSMENT!T32</f>
        <v>Publicar canal de derechos y comunicarlo internamente.</v>
      </c>
      <c r="G30" s="2">
        <f>ASSESSMENT!V32</f>
        <v>0</v>
      </c>
      <c r="H30" s="2" t="str">
        <f>ASSESSMENT!W32</f>
        <v>Por definir</v>
      </c>
      <c r="I30" s="2">
        <f>ASSESSMENT!X32</f>
        <v>0</v>
      </c>
      <c r="J30" s="2" t="str">
        <f>ASSESSMENT!Y32</f>
        <v>Pendiente</v>
      </c>
      <c r="K30" s="2">
        <f>ASSESSMENT!Z32</f>
        <v>0</v>
      </c>
    </row>
    <row r="31" spans="1:11" ht="29.4" customHeight="1">
      <c r="A31" s="2">
        <f>ASSESSMENT!A33</f>
        <v>27</v>
      </c>
      <c r="B31" s="2" t="str">
        <f>ASSESSMENT!B33</f>
        <v>Derechos de titulares</v>
      </c>
      <c r="C31" s="2" t="str">
        <f>ASSESSMENT!D33</f>
        <v>Registro de solicitudes</v>
      </c>
      <c r="D31" s="2" t="str">
        <f>ASSESSMENT!P33</f>
        <v>Pendiente</v>
      </c>
      <c r="E31" s="2" t="str">
        <f>ASSESSMENT!U33</f>
        <v>Pendiente</v>
      </c>
      <c r="F31" s="2" t="str">
        <f>ASSESSMENT!T33</f>
        <v>Implementar registro centralizado de solicitudes de derechos.</v>
      </c>
      <c r="G31" s="2">
        <f>ASSESSMENT!V33</f>
        <v>0</v>
      </c>
      <c r="H31" s="2" t="str">
        <f>ASSESSMENT!W33</f>
        <v>Por definir</v>
      </c>
      <c r="I31" s="2">
        <f>ASSESSMENT!X33</f>
        <v>0</v>
      </c>
      <c r="J31" s="2" t="str">
        <f>ASSESSMENT!Y33</f>
        <v>Pendiente</v>
      </c>
      <c r="K31" s="2">
        <f>ASSESSMENT!Z33</f>
        <v>0</v>
      </c>
    </row>
    <row r="32" spans="1:11" ht="29.4" customHeight="1">
      <c r="A32" s="2">
        <f>ASSESSMENT!A34</f>
        <v>28</v>
      </c>
      <c r="B32" s="2" t="str">
        <f>ASSESSMENT!B34</f>
        <v>Derechos de titulares</v>
      </c>
      <c r="C32" s="2" t="str">
        <f>ASSESSMENT!D34</f>
        <v>Verificación de identidad</v>
      </c>
      <c r="D32" s="2" t="str">
        <f>ASSESSMENT!P34</f>
        <v>Pendiente</v>
      </c>
      <c r="E32" s="2" t="str">
        <f>ASSESSMENT!U34</f>
        <v>Pendiente</v>
      </c>
      <c r="F32" s="2" t="str">
        <f>ASSESSMENT!T34</f>
        <v>Definir criterios de verificación de identidad y representación.</v>
      </c>
      <c r="G32" s="2">
        <f>ASSESSMENT!V34</f>
        <v>0</v>
      </c>
      <c r="H32" s="2" t="str">
        <f>ASSESSMENT!W34</f>
        <v>Por definir</v>
      </c>
      <c r="I32" s="2">
        <f>ASSESSMENT!X34</f>
        <v>0</v>
      </c>
      <c r="J32" s="2" t="str">
        <f>ASSESSMENT!Y34</f>
        <v>Pendiente</v>
      </c>
      <c r="K32" s="2">
        <f>ASSESSMENT!Z34</f>
        <v>0</v>
      </c>
    </row>
    <row r="33" spans="1:11" ht="29.4" customHeight="1">
      <c r="A33" s="2">
        <f>ASSESSMENT!A35</f>
        <v>29</v>
      </c>
      <c r="B33" s="2" t="str">
        <f>ASSESSMENT!B35</f>
        <v>Derechos de titulares</v>
      </c>
      <c r="C33" s="2" t="str">
        <f>ASSESSMENT!D35</f>
        <v>Respuestas tipo y criterios de excepción</v>
      </c>
      <c r="D33" s="2" t="str">
        <f>ASSESSMENT!P35</f>
        <v>Pendiente</v>
      </c>
      <c r="E33" s="2" t="str">
        <f>ASSESSMENT!U35</f>
        <v>Pendiente</v>
      </c>
      <c r="F33" s="2" t="str">
        <f>ASSESSMENT!T35</f>
        <v>Crear respuestas tipo y criterios de escalamiento.</v>
      </c>
      <c r="G33" s="2">
        <f>ASSESSMENT!V35</f>
        <v>0</v>
      </c>
      <c r="H33" s="2" t="str">
        <f>ASSESSMENT!W35</f>
        <v>Por definir</v>
      </c>
      <c r="I33" s="2">
        <f>ASSESSMENT!X35</f>
        <v>0</v>
      </c>
      <c r="J33" s="2" t="str">
        <f>ASSESSMENT!Y35</f>
        <v>Pendiente</v>
      </c>
      <c r="K33" s="2">
        <f>ASSESSMENT!Z35</f>
        <v>0</v>
      </c>
    </row>
    <row r="34" spans="1:11" ht="29.4" customHeight="1">
      <c r="A34" s="2">
        <f>ASSESSMENT!A36</f>
        <v>30</v>
      </c>
      <c r="B34" s="2" t="str">
        <f>ASSESSMENT!B36</f>
        <v>Derechos de titulares</v>
      </c>
      <c r="C34" s="2" t="str">
        <f>ASSESSMENT!D36</f>
        <v>Escalamiento interno</v>
      </c>
      <c r="D34" s="2" t="str">
        <f>ASSESSMENT!P36</f>
        <v>Pendiente</v>
      </c>
      <c r="E34" s="2" t="str">
        <f>ASSESSMENT!U36</f>
        <v>Pendiente</v>
      </c>
      <c r="F34" s="2" t="str">
        <f>ASSESSMENT!T36</f>
        <v>Formalizar escalamiento para solicitudes complejas o de alto riesgo.</v>
      </c>
      <c r="G34" s="2">
        <f>ASSESSMENT!V36</f>
        <v>0</v>
      </c>
      <c r="H34" s="2" t="str">
        <f>ASSESSMENT!W36</f>
        <v>Por definir</v>
      </c>
      <c r="I34" s="2">
        <f>ASSESSMENT!X36</f>
        <v>0</v>
      </c>
      <c r="J34" s="2" t="str">
        <f>ASSESSMENT!Y36</f>
        <v>Pendiente</v>
      </c>
      <c r="K34" s="2">
        <f>ASSESSMENT!Z36</f>
        <v>0</v>
      </c>
    </row>
    <row r="35" spans="1:11" ht="29.4" customHeight="1">
      <c r="A35" s="2">
        <f>ASSESSMENT!A37</f>
        <v>31</v>
      </c>
      <c r="B35" s="2" t="str">
        <f>ASSESSMENT!B37</f>
        <v>Derechos de titulares</v>
      </c>
      <c r="C35" s="2" t="str">
        <f>ASSESSMENT!D37</f>
        <v>Capacitación sobre derechos</v>
      </c>
      <c r="D35" s="2" t="str">
        <f>ASSESSMENT!P37</f>
        <v>Pendiente</v>
      </c>
      <c r="E35" s="2" t="str">
        <f>ASSESSMENT!U37</f>
        <v>Pendiente</v>
      </c>
      <c r="F35" s="2" t="str">
        <f>ASSESSMENT!T37</f>
        <v>Capacitar al personal de atención y canales digitales.</v>
      </c>
      <c r="G35" s="2">
        <f>ASSESSMENT!V37</f>
        <v>0</v>
      </c>
      <c r="H35" s="2" t="str">
        <f>ASSESSMENT!W37</f>
        <v>Por definir</v>
      </c>
      <c r="I35" s="2">
        <f>ASSESSMENT!X37</f>
        <v>0</v>
      </c>
      <c r="J35" s="2" t="str">
        <f>ASSESSMENT!Y37</f>
        <v>Pendiente</v>
      </c>
      <c r="K35" s="2">
        <f>ASSESSMENT!Z37</f>
        <v>0</v>
      </c>
    </row>
    <row r="36" spans="1:11" ht="29.4" customHeight="1">
      <c r="A36" s="2">
        <f>ASSESSMENT!A38</f>
        <v>32</v>
      </c>
      <c r="B36" s="2" t="str">
        <f>ASSESSMENT!B38</f>
        <v>Derechos de titulares</v>
      </c>
      <c r="C36" s="2" t="str">
        <f>ASSESSMENT!D38</f>
        <v>Prueba o simulación de atención de derechos</v>
      </c>
      <c r="D36" s="2" t="str">
        <f>ASSESSMENT!P38</f>
        <v>Pendiente</v>
      </c>
      <c r="E36" s="2" t="str">
        <f>ASSESSMENT!U38</f>
        <v>Pendiente</v>
      </c>
      <c r="F36" s="2" t="str">
        <f>ASSESSMENT!T38</f>
        <v>Ejecutar simulación semestral de solicitud de derechos.</v>
      </c>
      <c r="G36" s="2">
        <f>ASSESSMENT!V38</f>
        <v>0</v>
      </c>
      <c r="H36" s="2" t="str">
        <f>ASSESSMENT!W38</f>
        <v>Por definir</v>
      </c>
      <c r="I36" s="2">
        <f>ASSESSMENT!X38</f>
        <v>0</v>
      </c>
      <c r="J36" s="2" t="str">
        <f>ASSESSMENT!Y38</f>
        <v>Pendiente</v>
      </c>
      <c r="K36" s="2">
        <f>ASSESSMENT!Z38</f>
        <v>0</v>
      </c>
    </row>
    <row r="37" spans="1:11" ht="29.4" customHeight="1">
      <c r="A37" s="2">
        <f>ASSESSMENT!A39</f>
        <v>33</v>
      </c>
      <c r="B37" s="2" t="str">
        <f>ASSESSMENT!B39</f>
        <v>Procesos críticos de comercio y ciclo de vida de datos</v>
      </c>
      <c r="C37" s="2" t="str">
        <f>ASSESSMENT!D39</f>
        <v>Captación, registro y actualización de clientes</v>
      </c>
      <c r="D37" s="2" t="str">
        <f>ASSESSMENT!P39</f>
        <v>Pendiente</v>
      </c>
      <c r="E37" s="2" t="str">
        <f>ASSESSMENT!U39</f>
        <v>Pendiente</v>
      </c>
      <c r="F37" s="2" t="str">
        <f>ASSESSMENT!T39</f>
        <v>Mapear alta y actualización de clientes/prospectos; depurar campos, finalidades, bases, accesos y evidencias.</v>
      </c>
      <c r="G37" s="2">
        <f>ASSESSMENT!V39</f>
        <v>0</v>
      </c>
      <c r="H37" s="2" t="str">
        <f>ASSESSMENT!W39</f>
        <v>Por definir</v>
      </c>
      <c r="I37" s="2">
        <f>ASSESSMENT!X39</f>
        <v>0</v>
      </c>
      <c r="J37" s="2" t="str">
        <f>ASSESSMENT!Y39</f>
        <v>Pendiente</v>
      </c>
      <c r="K37" s="2">
        <f>ASSESSMENT!Z39</f>
        <v>0</v>
      </c>
    </row>
    <row r="38" spans="1:11" ht="29.4" customHeight="1">
      <c r="A38" s="2">
        <f>ASSESSMENT!A40</f>
        <v>34</v>
      </c>
      <c r="B38" s="2" t="str">
        <f>ASSESSMENT!B40</f>
        <v>Procesos críticos de comercio y ciclo de vida de datos</v>
      </c>
      <c r="C38" s="2" t="str">
        <f>ASSESSMENT!D40</f>
        <v>Venta presencial, POS y facturación</v>
      </c>
      <c r="D38" s="2" t="str">
        <f>ASSESSMENT!P40</f>
        <v>Pendiente</v>
      </c>
      <c r="E38" s="2" t="str">
        <f>ASSESSMENT!U40</f>
        <v>Pendiente</v>
      </c>
      <c r="F38" s="2" t="str">
        <f>ASSESSMENT!T40</f>
        <v>Revisar los datos solicitados en POS y facturación, perfiles de acceso, comprobantes, exportaciones y plazos de conservación.</v>
      </c>
      <c r="G38" s="2">
        <f>ASSESSMENT!V40</f>
        <v>0</v>
      </c>
      <c r="H38" s="2" t="str">
        <f>ASSESSMENT!W40</f>
        <v>Por definir</v>
      </c>
      <c r="I38" s="2">
        <f>ASSESSMENT!X40</f>
        <v>0</v>
      </c>
      <c r="J38" s="2" t="str">
        <f>ASSESSMENT!Y40</f>
        <v>Pendiente</v>
      </c>
      <c r="K38" s="2">
        <f>ASSESSMENT!Z40</f>
        <v>0</v>
      </c>
    </row>
    <row r="39" spans="1:11" ht="29.4" customHeight="1">
      <c r="A39" s="2">
        <f>ASSESSMENT!A41</f>
        <v>35</v>
      </c>
      <c r="B39" s="2" t="str">
        <f>ASSESSMENT!B41</f>
        <v>Procesos críticos de comercio y ciclo de vida de datos</v>
      </c>
      <c r="C39" s="2" t="str">
        <f>ASSESSMENT!D41</f>
        <v>E-commerce, cuentas de usuario y pedidos</v>
      </c>
      <c r="D39" s="2" t="str">
        <f>ASSESSMENT!P41</f>
        <v>Pendiente</v>
      </c>
      <c r="E39" s="2" t="str">
        <f>ASSESSMENT!U41</f>
        <v>Pendiente</v>
      </c>
      <c r="F39" s="2" t="str">
        <f>ASSESSMENT!T41</f>
        <v>Mapear el viaje digital del cliente desde registro/checkout hasta postventa; revisar minimización, avisos, cookies, cuentas, integraciones y seguridad.</v>
      </c>
      <c r="G39" s="2">
        <f>ASSESSMENT!V41</f>
        <v>0</v>
      </c>
      <c r="H39" s="2" t="str">
        <f>ASSESSMENT!W41</f>
        <v>Por definir</v>
      </c>
      <c r="I39" s="2">
        <f>ASSESSMENT!X41</f>
        <v>0</v>
      </c>
      <c r="J39" s="2" t="str">
        <f>ASSESSMENT!Y41</f>
        <v>Pendiente</v>
      </c>
      <c r="K39" s="2">
        <f>ASSESSMENT!Z41</f>
        <v>0</v>
      </c>
    </row>
    <row r="40" spans="1:11" ht="29.4" customHeight="1">
      <c r="A40" s="2">
        <f>ASSESSMENT!A42</f>
        <v>36</v>
      </c>
      <c r="B40" s="2" t="str">
        <f>ASSESSMENT!B42</f>
        <v>Procesos críticos de comercio y ciclo de vida de datos</v>
      </c>
      <c r="C40" s="2" t="str">
        <f>ASSESSMENT!D42</f>
        <v>Pagos, pasarelas y prevención de fraude</v>
      </c>
      <c r="D40" s="2" t="str">
        <f>ASSESSMENT!P42</f>
        <v>Pendiente</v>
      </c>
      <c r="E40" s="2" t="str">
        <f>ASSESSMENT!U42</f>
        <v>Pendiente</v>
      </c>
      <c r="F40" s="2" t="str">
        <f>ASSESSMENT!T42</f>
        <v>Identificar flujos y terceros de pago; verificar minimización, almacenamiento, accesos, contratos, incidentes y responsabilidades.</v>
      </c>
      <c r="G40" s="2">
        <f>ASSESSMENT!V42</f>
        <v>0</v>
      </c>
      <c r="H40" s="2" t="str">
        <f>ASSESSMENT!W42</f>
        <v>Por definir</v>
      </c>
      <c r="I40" s="2">
        <f>ASSESSMENT!X42</f>
        <v>0</v>
      </c>
      <c r="J40" s="2" t="str">
        <f>ASSESSMENT!Y42</f>
        <v>Pendiente</v>
      </c>
      <c r="K40" s="2">
        <f>ASSESSMENT!Z42</f>
        <v>0</v>
      </c>
    </row>
    <row r="41" spans="1:11" ht="29.4" customHeight="1">
      <c r="A41" s="2">
        <f>ASSESSMENT!A43</f>
        <v>37</v>
      </c>
      <c r="B41" s="2" t="str">
        <f>ASSESSMENT!B43</f>
        <v>Procesos críticos de comercio y ciclo de vida de datos</v>
      </c>
      <c r="C41" s="2" t="str">
        <f>ASSESSMENT!D43</f>
        <v>CRM, fidelización, promociones y marketing</v>
      </c>
      <c r="D41" s="2" t="str">
        <f>ASSESSMENT!P43</f>
        <v>Pendiente</v>
      </c>
      <c r="E41" s="2" t="str">
        <f>ASSESSMENT!U43</f>
        <v>Pendiente</v>
      </c>
      <c r="F41" s="2" t="str">
        <f>ASSESSMENT!T43</f>
        <v>Revisar CRM y marketing: origen de contactos, bases de legitimación, preferencias, segmentación, listas, bajas y trazabilidad.</v>
      </c>
      <c r="G41" s="2">
        <f>ASSESSMENT!V43</f>
        <v>0</v>
      </c>
      <c r="H41" s="2" t="str">
        <f>ASSESSMENT!W43</f>
        <v>Por definir</v>
      </c>
      <c r="I41" s="2">
        <f>ASSESSMENT!X43</f>
        <v>0</v>
      </c>
      <c r="J41" s="2" t="str">
        <f>ASSESSMENT!Y43</f>
        <v>Pendiente</v>
      </c>
      <c r="K41" s="2">
        <f>ASSESSMENT!Z43</f>
        <v>0</v>
      </c>
    </row>
    <row r="42" spans="1:11" ht="29.4" customHeight="1">
      <c r="A42" s="2">
        <f>ASSESSMENT!A44</f>
        <v>38</v>
      </c>
      <c r="B42" s="2" t="str">
        <f>ASSESSMENT!B44</f>
        <v>Procesos críticos de comercio y ciclo de vida de datos</v>
      </c>
      <c r="C42" s="2" t="str">
        <f>ASSESSMENT!D44</f>
        <v>Servicio al cliente, devoluciones, garantías y reclamos</v>
      </c>
      <c r="D42" s="2" t="str">
        <f>ASSESSMENT!P44</f>
        <v>Pendiente</v>
      </c>
      <c r="E42" s="2" t="str">
        <f>ASSESSMENT!U44</f>
        <v>Pendiente</v>
      </c>
      <c r="F42" s="2" t="str">
        <f>ASSESSMENT!T44</f>
        <v>Formalizar reglas de privacidad para atención, devoluciones, garantías y reclamos; revisar identificación, campos, accesos y conservación.</v>
      </c>
      <c r="G42" s="2">
        <f>ASSESSMENT!V44</f>
        <v>0</v>
      </c>
      <c r="H42" s="2" t="str">
        <f>ASSESSMENT!W44</f>
        <v>Por definir</v>
      </c>
      <c r="I42" s="2">
        <f>ASSESSMENT!X44</f>
        <v>0</v>
      </c>
      <c r="J42" s="2" t="str">
        <f>ASSESSMENT!Y44</f>
        <v>Pendiente</v>
      </c>
      <c r="K42" s="2">
        <f>ASSESSMENT!Z44</f>
        <v>0</v>
      </c>
    </row>
    <row r="43" spans="1:11" ht="29.4" customHeight="1">
      <c r="A43" s="2">
        <f>ASSESSMENT!A45</f>
        <v>39</v>
      </c>
      <c r="B43" s="2" t="str">
        <f>ASSESSMENT!B45</f>
        <v>Procesos críticos de comercio y ciclo de vida de datos</v>
      </c>
      <c r="C43" s="2" t="str">
        <f>ASSESSMENT!D45</f>
        <v>Logística, despacho, entrega y retiro</v>
      </c>
      <c r="D43" s="2" t="str">
        <f>ASSESSMENT!P45</f>
        <v>Pendiente</v>
      </c>
      <c r="E43" s="2" t="str">
        <f>ASSESSMENT!U45</f>
        <v>Pendiente</v>
      </c>
      <c r="F43" s="2" t="str">
        <f>ASSESSMENT!T45</f>
        <v>Mapear datos de despacho y entrega; minimizar etiquetas/documentos, controlar couriers y definir acceso y conservación de evidencias.</v>
      </c>
      <c r="G43" s="2">
        <f>ASSESSMENT!V45</f>
        <v>0</v>
      </c>
      <c r="H43" s="2" t="str">
        <f>ASSESSMENT!W45</f>
        <v>Por definir</v>
      </c>
      <c r="I43" s="2">
        <f>ASSESSMENT!X45</f>
        <v>0</v>
      </c>
      <c r="J43" s="2" t="str">
        <f>ASSESSMENT!Y45</f>
        <v>Pendiente</v>
      </c>
      <c r="K43" s="2">
        <f>ASSESSMENT!Z45</f>
        <v>0</v>
      </c>
    </row>
    <row r="44" spans="1:11" ht="29.4" customHeight="1">
      <c r="A44" s="2">
        <f>ASSESSMENT!A46</f>
        <v>40</v>
      </c>
      <c r="B44" s="2" t="str">
        <f>ASSESSMENT!B46</f>
        <v>Procesos críticos de comercio y ciclo de vida de datos</v>
      </c>
      <c r="C44" s="2" t="str">
        <f>ASSESSMENT!D46</f>
        <v>Talento humano, contratación y nómina</v>
      </c>
      <c r="D44" s="2" t="str">
        <f>ASSESSMENT!P46</f>
        <v>Pendiente</v>
      </c>
      <c r="E44" s="2" t="str">
        <f>ASSESSMENT!U46</f>
        <v>Pendiente</v>
      </c>
      <c r="F44" s="2" t="str">
        <f>ASSESSMENT!T46</f>
        <v>Revisar ciclo de vida laboral: selección, expedientes, nómina, accesos, confidencialidad, bajas y conservación.</v>
      </c>
      <c r="G44" s="2">
        <f>ASSESSMENT!V46</f>
        <v>0</v>
      </c>
      <c r="H44" s="2" t="str">
        <f>ASSESSMENT!W46</f>
        <v>Por definir</v>
      </c>
      <c r="I44" s="2">
        <f>ASSESSMENT!X46</f>
        <v>0</v>
      </c>
      <c r="J44" s="2" t="str">
        <f>ASSESSMENT!Y46</f>
        <v>Pendiente</v>
      </c>
      <c r="K44" s="2">
        <f>ASSESSMENT!Z46</f>
        <v>0</v>
      </c>
    </row>
    <row r="45" spans="1:11" ht="29.4" customHeight="1">
      <c r="A45" s="2">
        <f>ASSESSMENT!A47</f>
        <v>41</v>
      </c>
      <c r="B45" s="2" t="str">
        <f>ASSESSMENT!B47</f>
        <v>Encargados, proveedores y transferencias</v>
      </c>
      <c r="C45" s="2" t="str">
        <f>ASSESSMENT!D47</f>
        <v>Inventario de encargados y terceros críticos</v>
      </c>
      <c r="D45" s="2" t="str">
        <f>ASSESSMENT!P47</f>
        <v>Pendiente</v>
      </c>
      <c r="E45" s="2" t="str">
        <f>ASSESSMENT!U47</f>
        <v>Pendiente</v>
      </c>
      <c r="F45" s="2" t="str">
        <f>ASSESSMENT!T47</f>
        <v>Crear matriz de proveedores/encargados con criticidad de datos.</v>
      </c>
      <c r="G45" s="2">
        <f>ASSESSMENT!V47</f>
        <v>0</v>
      </c>
      <c r="H45" s="2" t="str">
        <f>ASSESSMENT!W47</f>
        <v>Por definir</v>
      </c>
      <c r="I45" s="2">
        <f>ASSESSMENT!X47</f>
        <v>0</v>
      </c>
      <c r="J45" s="2" t="str">
        <f>ASSESSMENT!Y47</f>
        <v>Pendiente</v>
      </c>
      <c r="K45" s="2">
        <f>ASSESSMENT!Z47</f>
        <v>0</v>
      </c>
    </row>
    <row r="46" spans="1:11" ht="29.4" customHeight="1">
      <c r="A46" s="2">
        <f>ASSESSMENT!A48</f>
        <v>42</v>
      </c>
      <c r="B46" s="2" t="str">
        <f>ASSESSMENT!B48</f>
        <v>Encargados, proveedores y transferencias</v>
      </c>
      <c r="C46" s="2" t="str">
        <f>ASSESSMENT!D48</f>
        <v>Contratos con cláusulas de tratamiento</v>
      </c>
      <c r="D46" s="2" t="str">
        <f>ASSESSMENT!P48</f>
        <v>Pendiente</v>
      </c>
      <c r="E46" s="2" t="str">
        <f>ASSESSMENT!U48</f>
        <v>Pendiente</v>
      </c>
      <c r="F46" s="2" t="str">
        <f>ASSESSMENT!T48</f>
        <v>Actualizar contratos con cláusulas de encargado y confidencialidad.</v>
      </c>
      <c r="G46" s="2">
        <f>ASSESSMENT!V48</f>
        <v>0</v>
      </c>
      <c r="H46" s="2" t="str">
        <f>ASSESSMENT!W48</f>
        <v>Por definir</v>
      </c>
      <c r="I46" s="2">
        <f>ASSESSMENT!X48</f>
        <v>0</v>
      </c>
      <c r="J46" s="2" t="str">
        <f>ASSESSMENT!Y48</f>
        <v>Pendiente</v>
      </c>
      <c r="K46" s="2">
        <f>ASSESSMENT!Z48</f>
        <v>0</v>
      </c>
    </row>
    <row r="47" spans="1:11" ht="29.4" customHeight="1">
      <c r="A47" s="2">
        <f>ASSESSMENT!A49</f>
        <v>43</v>
      </c>
      <c r="B47" s="2" t="str">
        <f>ASSESSMENT!B49</f>
        <v>Encargados, proveedores y transferencias</v>
      </c>
      <c r="C47" s="2" t="str">
        <f>ASSESSMENT!D49</f>
        <v>Evaluación previa de proveedores críticos</v>
      </c>
      <c r="D47" s="2" t="str">
        <f>ASSESSMENT!P49</f>
        <v>Pendiente</v>
      </c>
      <c r="E47" s="2" t="str">
        <f>ASSESSMENT!U49</f>
        <v>Pendiente</v>
      </c>
      <c r="F47" s="2" t="str">
        <f>ASSESSMENT!T49</f>
        <v>Implementar evaluación previa de proveedores críticos.</v>
      </c>
      <c r="G47" s="2">
        <f>ASSESSMENT!V49</f>
        <v>0</v>
      </c>
      <c r="H47" s="2" t="str">
        <f>ASSESSMENT!W49</f>
        <v>Por definir</v>
      </c>
      <c r="I47" s="2">
        <f>ASSESSMENT!X49</f>
        <v>0</v>
      </c>
      <c r="J47" s="2" t="str">
        <f>ASSESSMENT!Y49</f>
        <v>Pendiente</v>
      </c>
      <c r="K47" s="2">
        <f>ASSESSMENT!Z49</f>
        <v>0</v>
      </c>
    </row>
    <row r="48" spans="1:11" ht="29.4" customHeight="1">
      <c r="A48" s="2">
        <f>ASSESSMENT!A50</f>
        <v>44</v>
      </c>
      <c r="B48" s="2" t="str">
        <f>ASSESSMENT!B50</f>
        <v>Encargados, proveedores y transferencias</v>
      </c>
      <c r="C48" s="2" t="str">
        <f>ASSESSMENT!D50</f>
        <v>Servicios en nube y software SaaS</v>
      </c>
      <c r="D48" s="2" t="str">
        <f>ASSESSMENT!P50</f>
        <v>Pendiente</v>
      </c>
      <c r="E48" s="2" t="str">
        <f>ASSESSMENT!U50</f>
        <v>Pendiente</v>
      </c>
      <c r="F48" s="2" t="str">
        <f>ASSESSMENT!T50</f>
        <v>Revisar proveedores cloud/SaaS y documentar riesgos y controles.</v>
      </c>
      <c r="G48" s="2">
        <f>ASSESSMENT!V50</f>
        <v>0</v>
      </c>
      <c r="H48" s="2" t="str">
        <f>ASSESSMENT!W50</f>
        <v>Por definir</v>
      </c>
      <c r="I48" s="2">
        <f>ASSESSMENT!X50</f>
        <v>0</v>
      </c>
      <c r="J48" s="2" t="str">
        <f>ASSESSMENT!Y50</f>
        <v>Pendiente</v>
      </c>
      <c r="K48" s="2">
        <f>ASSESSMENT!Z50</f>
        <v>0</v>
      </c>
    </row>
    <row r="49" spans="1:11" ht="29.4" customHeight="1">
      <c r="A49" s="2">
        <f>ASSESSMENT!A51</f>
        <v>45</v>
      </c>
      <c r="B49" s="2" t="str">
        <f>ASSESSMENT!B51</f>
        <v>Encargados, proveedores y transferencias</v>
      </c>
      <c r="C49" s="2" t="str">
        <f>ASSESSMENT!D51</f>
        <v>Transferencias internacionales</v>
      </c>
      <c r="D49" s="2" t="str">
        <f>ASSESSMENT!P51</f>
        <v>Pendiente</v>
      </c>
      <c r="E49" s="2" t="str">
        <f>ASSESSMENT!U51</f>
        <v>Pendiente</v>
      </c>
      <c r="F49" s="2" t="str">
        <f>ASSESSMENT!T51</f>
        <v>Identificar transferencias internacionales y definir salvaguardas.</v>
      </c>
      <c r="G49" s="2">
        <f>ASSESSMENT!V51</f>
        <v>0</v>
      </c>
      <c r="H49" s="2" t="str">
        <f>ASSESSMENT!W51</f>
        <v>Por definir</v>
      </c>
      <c r="I49" s="2">
        <f>ASSESSMENT!X51</f>
        <v>0</v>
      </c>
      <c r="J49" s="2" t="str">
        <f>ASSESSMENT!Y51</f>
        <v>Pendiente</v>
      </c>
      <c r="K49" s="2">
        <f>ASSESSMENT!Z51</f>
        <v>0</v>
      </c>
    </row>
    <row r="50" spans="1:11" ht="29.4" customHeight="1">
      <c r="A50" s="2">
        <f>ASSESSMENT!A52</f>
        <v>46</v>
      </c>
      <c r="B50" s="2" t="str">
        <f>ASSESSMENT!B52</f>
        <v>Encargados, proveedores y transferencias</v>
      </c>
      <c r="C50" s="2" t="str">
        <f>ASSESSMENT!D52</f>
        <v>Acceso de soporte técnico</v>
      </c>
      <c r="D50" s="2" t="str">
        <f>ASSESSMENT!P52</f>
        <v>Pendiente</v>
      </c>
      <c r="E50" s="2" t="str">
        <f>ASSESSMENT!U52</f>
        <v>Pendiente</v>
      </c>
      <c r="F50" s="2" t="str">
        <f>ASSESSMENT!T52</f>
        <v>Controlar accesos de soporte con tickets, logs y revocación.</v>
      </c>
      <c r="G50" s="2">
        <f>ASSESSMENT!V52</f>
        <v>0</v>
      </c>
      <c r="H50" s="2" t="str">
        <f>ASSESSMENT!W52</f>
        <v>Por definir</v>
      </c>
      <c r="I50" s="2">
        <f>ASSESSMENT!X52</f>
        <v>0</v>
      </c>
      <c r="J50" s="2" t="str">
        <f>ASSESSMENT!Y52</f>
        <v>Pendiente</v>
      </c>
      <c r="K50" s="2">
        <f>ASSESSMENT!Z52</f>
        <v>0</v>
      </c>
    </row>
    <row r="51" spans="1:11" ht="29.4" customHeight="1">
      <c r="A51" s="2">
        <f>ASSESSMENT!A53</f>
        <v>47</v>
      </c>
      <c r="B51" s="2" t="str">
        <f>ASSESSMENT!B53</f>
        <v>Encargados, proveedores y transferencias</v>
      </c>
      <c r="C51" s="2" t="str">
        <f>ASSESSMENT!D53</f>
        <v>Subencargados</v>
      </c>
      <c r="D51" s="2" t="str">
        <f>ASSESSMENT!P53</f>
        <v>Pendiente</v>
      </c>
      <c r="E51" s="2" t="str">
        <f>ASSESSMENT!U53</f>
        <v>Pendiente</v>
      </c>
      <c r="F51" s="2" t="str">
        <f>ASSESSMENT!T53</f>
        <v>Incluir gestión de subencargados en contratos críticos.</v>
      </c>
      <c r="G51" s="2">
        <f>ASSESSMENT!V53</f>
        <v>0</v>
      </c>
      <c r="H51" s="2" t="str">
        <f>ASSESSMENT!W53</f>
        <v>Por definir</v>
      </c>
      <c r="I51" s="2">
        <f>ASSESSMENT!X53</f>
        <v>0</v>
      </c>
      <c r="J51" s="2" t="str">
        <f>ASSESSMENT!Y53</f>
        <v>Pendiente</v>
      </c>
      <c r="K51" s="2">
        <f>ASSESSMENT!Z53</f>
        <v>0</v>
      </c>
    </row>
    <row r="52" spans="1:11" ht="29.4" customHeight="1">
      <c r="A52" s="2">
        <f>ASSESSMENT!A54</f>
        <v>48</v>
      </c>
      <c r="B52" s="2" t="str">
        <f>ASSESSMENT!B54</f>
        <v>Encargados, proveedores y transferencias</v>
      </c>
      <c r="C52" s="2" t="str">
        <f>ASSESSMENT!D54</f>
        <v>Salida, devolución o eliminación al terminar servicios</v>
      </c>
      <c r="D52" s="2" t="str">
        <f>ASSESSMENT!P54</f>
        <v>Pendiente</v>
      </c>
      <c r="E52" s="2" t="str">
        <f>ASSESSMENT!U54</f>
        <v>Pendiente</v>
      </c>
      <c r="F52" s="2" t="str">
        <f>ASSESSMENT!T54</f>
        <v>Establecer checklist de salida y eliminación de datos por proveedor.</v>
      </c>
      <c r="G52" s="2">
        <f>ASSESSMENT!V54</f>
        <v>0</v>
      </c>
      <c r="H52" s="2" t="str">
        <f>ASSESSMENT!W54</f>
        <v>Por definir</v>
      </c>
      <c r="I52" s="2">
        <f>ASSESSMENT!X54</f>
        <v>0</v>
      </c>
      <c r="J52" s="2" t="str">
        <f>ASSESSMENT!Y54</f>
        <v>Pendiente</v>
      </c>
      <c r="K52" s="2">
        <f>ASSESSMENT!Z54</f>
        <v>0</v>
      </c>
    </row>
    <row r="53" spans="1:11" ht="29.4" customHeight="1">
      <c r="A53" s="2">
        <f>ASSESSMENT!A55</f>
        <v>49</v>
      </c>
      <c r="B53" s="2" t="str">
        <f>ASSESSMENT!B55</f>
        <v>Seguridad de datos personales</v>
      </c>
      <c r="C53" s="2" t="str">
        <f>ASSESSMENT!D55</f>
        <v>Matriz de accesos por rol en POS, ERP, CRM y sistemas críticos</v>
      </c>
      <c r="D53" s="2" t="str">
        <f>ASSESSMENT!P55</f>
        <v>Pendiente</v>
      </c>
      <c r="E53" s="2" t="str">
        <f>ASSESSMENT!U55</f>
        <v>Pendiente</v>
      </c>
      <c r="F53" s="2" t="str">
        <f>ASSESSMENT!T55</f>
        <v>Levantar y revisar matriz de accesos por rol en sistemas críticos.</v>
      </c>
      <c r="G53" s="2">
        <f>ASSESSMENT!V55</f>
        <v>0</v>
      </c>
      <c r="H53" s="2" t="str">
        <f>ASSESSMENT!W55</f>
        <v>Por definir</v>
      </c>
      <c r="I53" s="2">
        <f>ASSESSMENT!X55</f>
        <v>0</v>
      </c>
      <c r="J53" s="2" t="str">
        <f>ASSESSMENT!Y55</f>
        <v>Pendiente</v>
      </c>
      <c r="K53" s="2">
        <f>ASSESSMENT!Z55</f>
        <v>0</v>
      </c>
    </row>
    <row r="54" spans="1:11" ht="29.4" customHeight="1">
      <c r="A54" s="2">
        <f>ASSESSMENT!A56</f>
        <v>50</v>
      </c>
      <c r="B54" s="2" t="str">
        <f>ASSESSMENT!B56</f>
        <v>Seguridad de datos personales</v>
      </c>
      <c r="C54" s="2" t="str">
        <f>ASSESSMENT!D56</f>
        <v>Usuarios individuales y no compartidos</v>
      </c>
      <c r="D54" s="2" t="str">
        <f>ASSESSMENT!P56</f>
        <v>Pendiente</v>
      </c>
      <c r="E54" s="2" t="str">
        <f>ASSESSMENT!U56</f>
        <v>Pendiente</v>
      </c>
      <c r="F54" s="2" t="str">
        <f>ASSESSMENT!T56</f>
        <v>Eliminar usuarios compartidos y formalizar altas, cambios y bajas.</v>
      </c>
      <c r="G54" s="2">
        <f>ASSESSMENT!V56</f>
        <v>0</v>
      </c>
      <c r="H54" s="2" t="str">
        <f>ASSESSMENT!W56</f>
        <v>Por definir</v>
      </c>
      <c r="I54" s="2">
        <f>ASSESSMENT!X56</f>
        <v>0</v>
      </c>
      <c r="J54" s="2" t="str">
        <f>ASSESSMENT!Y56</f>
        <v>Pendiente</v>
      </c>
      <c r="K54" s="2">
        <f>ASSESSMENT!Z56</f>
        <v>0</v>
      </c>
    </row>
    <row r="55" spans="1:11" ht="29.4" customHeight="1">
      <c r="A55" s="2">
        <f>ASSESSMENT!A57</f>
        <v>51</v>
      </c>
      <c r="B55" s="2" t="str">
        <f>ASSESSMENT!B57</f>
        <v>Seguridad de datos personales</v>
      </c>
      <c r="C55" s="2" t="str">
        <f>ASSESSMENT!D57</f>
        <v>Autenticación robusta y MFA</v>
      </c>
      <c r="D55" s="2" t="str">
        <f>ASSESSMENT!P57</f>
        <v>Pendiente</v>
      </c>
      <c r="E55" s="2" t="str">
        <f>ASSESSMENT!U57</f>
        <v>Pendiente</v>
      </c>
      <c r="F55" s="2" t="str">
        <f>ASSESSMENT!T57</f>
        <v>Implementar MFA en correo, nube, VPN, sistemas críticos y administradores.</v>
      </c>
      <c r="G55" s="2">
        <f>ASSESSMENT!V57</f>
        <v>0</v>
      </c>
      <c r="H55" s="2" t="str">
        <f>ASSESSMENT!W57</f>
        <v>Por definir</v>
      </c>
      <c r="I55" s="2">
        <f>ASSESSMENT!X57</f>
        <v>0</v>
      </c>
      <c r="J55" s="2" t="str">
        <f>ASSESSMENT!Y57</f>
        <v>Pendiente</v>
      </c>
      <c r="K55" s="2">
        <f>ASSESSMENT!Z57</f>
        <v>0</v>
      </c>
    </row>
    <row r="56" spans="1:11" ht="29.4" customHeight="1">
      <c r="A56" s="2">
        <f>ASSESSMENT!A58</f>
        <v>52</v>
      </c>
      <c r="B56" s="2" t="str">
        <f>ASSESSMENT!B58</f>
        <v>Seguridad de datos personales</v>
      </c>
      <c r="C56" s="2" t="str">
        <f>ASSESSMENT!D58</f>
        <v>Respaldos y recuperación</v>
      </c>
      <c r="D56" s="2" t="str">
        <f>ASSESSMENT!P58</f>
        <v>Pendiente</v>
      </c>
      <c r="E56" s="2" t="str">
        <f>ASSESSMENT!U58</f>
        <v>Pendiente</v>
      </c>
      <c r="F56" s="2" t="str">
        <f>ASSESSMENT!T58</f>
        <v>Documentar política de respaldos y ejecutar pruebas de restauración.</v>
      </c>
      <c r="G56" s="2">
        <f>ASSESSMENT!V58</f>
        <v>0</v>
      </c>
      <c r="H56" s="2" t="str">
        <f>ASSESSMENT!W58</f>
        <v>Por definir</v>
      </c>
      <c r="I56" s="2">
        <f>ASSESSMENT!X58</f>
        <v>0</v>
      </c>
      <c r="J56" s="2" t="str">
        <f>ASSESSMENT!Y58</f>
        <v>Pendiente</v>
      </c>
      <c r="K56" s="2">
        <f>ASSESSMENT!Z58</f>
        <v>0</v>
      </c>
    </row>
    <row r="57" spans="1:11" ht="29.4" customHeight="1">
      <c r="A57" s="2">
        <f>ASSESSMENT!A59</f>
        <v>53</v>
      </c>
      <c r="B57" s="2" t="str">
        <f>ASSESSMENT!B59</f>
        <v>Seguridad de datos personales</v>
      </c>
      <c r="C57" s="2" t="str">
        <f>ASSESSMENT!D59</f>
        <v>Cifrado y protección de dispositivos</v>
      </c>
      <c r="D57" s="2" t="str">
        <f>ASSESSMENT!P59</f>
        <v>Pendiente</v>
      </c>
      <c r="E57" s="2" t="str">
        <f>ASSESSMENT!U59</f>
        <v>Pendiente</v>
      </c>
      <c r="F57" s="2" t="str">
        <f>ASSESSMENT!T59</f>
        <v>Implementar cifrado y controles de endpoints según riesgo.</v>
      </c>
      <c r="G57" s="2">
        <f>ASSESSMENT!V59</f>
        <v>0</v>
      </c>
      <c r="H57" s="2" t="str">
        <f>ASSESSMENT!W59</f>
        <v>Por definir</v>
      </c>
      <c r="I57" s="2">
        <f>ASSESSMENT!X59</f>
        <v>0</v>
      </c>
      <c r="J57" s="2" t="str">
        <f>ASSESSMENT!Y59</f>
        <v>Pendiente</v>
      </c>
      <c r="K57" s="2">
        <f>ASSESSMENT!Z59</f>
        <v>0</v>
      </c>
    </row>
    <row r="58" spans="1:11" ht="29.4" customHeight="1">
      <c r="A58" s="2">
        <f>ASSESSMENT!A60</f>
        <v>54</v>
      </c>
      <c r="B58" s="2" t="str">
        <f>ASSESSMENT!B60</f>
        <v>Seguridad de datos personales</v>
      </c>
      <c r="C58" s="2" t="str">
        <f>ASSESSMENT!D60</f>
        <v>Registro, monitoreo y trazabilidad</v>
      </c>
      <c r="D58" s="2" t="str">
        <f>ASSESSMENT!P60</f>
        <v>Pendiente</v>
      </c>
      <c r="E58" s="2" t="str">
        <f>ASSESSMENT!U60</f>
        <v>Pendiente</v>
      </c>
      <c r="F58" s="2" t="str">
        <f>ASSESSMENT!T60</f>
        <v>Habilitar registros de acceso y revisión periódica en sistemas críticos.</v>
      </c>
      <c r="G58" s="2">
        <f>ASSESSMENT!V60</f>
        <v>0</v>
      </c>
      <c r="H58" s="2" t="str">
        <f>ASSESSMENT!W60</f>
        <v>Por definir</v>
      </c>
      <c r="I58" s="2">
        <f>ASSESSMENT!X60</f>
        <v>0</v>
      </c>
      <c r="J58" s="2" t="str">
        <f>ASSESSMENT!Y60</f>
        <v>Pendiente</v>
      </c>
      <c r="K58" s="2">
        <f>ASSESSMENT!Z60</f>
        <v>0</v>
      </c>
    </row>
    <row r="59" spans="1:11" ht="29.4" customHeight="1">
      <c r="A59" s="2">
        <f>ASSESSMENT!A61</f>
        <v>55</v>
      </c>
      <c r="B59" s="2" t="str">
        <f>ASSESSMENT!B61</f>
        <v>Seguridad de datos personales</v>
      </c>
      <c r="C59" s="2" t="str">
        <f>ASSESSMENT!D61</f>
        <v>Gestión de vulnerabilidades y parches</v>
      </c>
      <c r="D59" s="2" t="str">
        <f>ASSESSMENT!P61</f>
        <v>Pendiente</v>
      </c>
      <c r="E59" s="2" t="str">
        <f>ASSESSMENT!U61</f>
        <v>Pendiente</v>
      </c>
      <c r="F59" s="2" t="str">
        <f>ASSESSMENT!T61</f>
        <v>Establecer ciclo de parches y seguimiento de vulnerabilidades.</v>
      </c>
      <c r="G59" s="2">
        <f>ASSESSMENT!V61</f>
        <v>0</v>
      </c>
      <c r="H59" s="2" t="str">
        <f>ASSESSMENT!W61</f>
        <v>Por definir</v>
      </c>
      <c r="I59" s="2">
        <f>ASSESSMENT!X61</f>
        <v>0</v>
      </c>
      <c r="J59" s="2" t="str">
        <f>ASSESSMENT!Y61</f>
        <v>Pendiente</v>
      </c>
      <c r="K59" s="2">
        <f>ASSESSMENT!Z61</f>
        <v>0</v>
      </c>
    </row>
    <row r="60" spans="1:11" ht="29.4" customHeight="1">
      <c r="A60" s="2">
        <f>ASSESSMENT!A62</f>
        <v>56</v>
      </c>
      <c r="B60" s="2" t="str">
        <f>ASSESSMENT!B62</f>
        <v>Seguridad de datos personales</v>
      </c>
      <c r="C60" s="2" t="str">
        <f>ASSESSMENT!D62</f>
        <v>Seguridad física, archivo y puesto limpio</v>
      </c>
      <c r="D60" s="2" t="str">
        <f>ASSESSMENT!P62</f>
        <v>Pendiente</v>
      </c>
      <c r="E60" s="2" t="str">
        <f>ASSESSMENT!U62</f>
        <v>Pendiente</v>
      </c>
      <c r="F60" s="2" t="str">
        <f>ASSESSMENT!T62</f>
        <v>Implementar controles físicos, archivo seguro y política de puesto limpio.</v>
      </c>
      <c r="G60" s="2">
        <f>ASSESSMENT!V62</f>
        <v>0</v>
      </c>
      <c r="H60" s="2" t="str">
        <f>ASSESSMENT!W62</f>
        <v>Por definir</v>
      </c>
      <c r="I60" s="2">
        <f>ASSESSMENT!X62</f>
        <v>0</v>
      </c>
      <c r="J60" s="2" t="str">
        <f>ASSESSMENT!Y62</f>
        <v>Pendiente</v>
      </c>
      <c r="K60" s="2">
        <f>ASSESSMENT!Z62</f>
        <v>0</v>
      </c>
    </row>
    <row r="61" spans="1:11" ht="29.4" customHeight="1">
      <c r="A61" s="2">
        <f>ASSESSMENT!A63</f>
        <v>57</v>
      </c>
      <c r="B61" s="2" t="str">
        <f>ASSESSMENT!B63</f>
        <v>Incidentes y vulneraciones</v>
      </c>
      <c r="C61" s="2" t="str">
        <f>ASSESSMENT!D63</f>
        <v>Procedimiento de incidentes de datos personales</v>
      </c>
      <c r="D61" s="2" t="str">
        <f>ASSESSMENT!P63</f>
        <v>Pendiente</v>
      </c>
      <c r="E61" s="2" t="str">
        <f>ASSESSMENT!U63</f>
        <v>Pendiente</v>
      </c>
      <c r="F61" s="2" t="str">
        <f>ASSESSMENT!T63</f>
        <v>Crear o actualizar procedimiento de incidentes de datos personales.</v>
      </c>
      <c r="G61" s="2">
        <f>ASSESSMENT!V63</f>
        <v>0</v>
      </c>
      <c r="H61" s="2" t="str">
        <f>ASSESSMENT!W63</f>
        <v>Por definir</v>
      </c>
      <c r="I61" s="2">
        <f>ASSESSMENT!X63</f>
        <v>0</v>
      </c>
      <c r="J61" s="2" t="str">
        <f>ASSESSMENT!Y63</f>
        <v>Pendiente</v>
      </c>
      <c r="K61" s="2">
        <f>ASSESSMENT!Z63</f>
        <v>0</v>
      </c>
    </row>
    <row r="62" spans="1:11" ht="29.4" customHeight="1">
      <c r="A62" s="2">
        <f>ASSESSMENT!A64</f>
        <v>58</v>
      </c>
      <c r="B62" s="2" t="str">
        <f>ASSESSMENT!B64</f>
        <v>Incidentes y vulneraciones</v>
      </c>
      <c r="C62" s="2" t="str">
        <f>ASSESSMENT!D64</f>
        <v>Registro de incidentes</v>
      </c>
      <c r="D62" s="2" t="str">
        <f>ASSESSMENT!P64</f>
        <v>Pendiente</v>
      </c>
      <c r="E62" s="2" t="str">
        <f>ASSESSMENT!U64</f>
        <v>Pendiente</v>
      </c>
      <c r="F62" s="2" t="str">
        <f>ASSESSMENT!T64</f>
        <v>Implementar registro centralizado de incidentes y vulneraciones.</v>
      </c>
      <c r="G62" s="2">
        <f>ASSESSMENT!V64</f>
        <v>0</v>
      </c>
      <c r="H62" s="2" t="str">
        <f>ASSESSMENT!W64</f>
        <v>Por definir</v>
      </c>
      <c r="I62" s="2">
        <f>ASSESSMENT!X64</f>
        <v>0</v>
      </c>
      <c r="J62" s="2" t="str">
        <f>ASSESSMENT!Y64</f>
        <v>Pendiente</v>
      </c>
      <c r="K62" s="2">
        <f>ASSESSMENT!Z64</f>
        <v>0</v>
      </c>
    </row>
    <row r="63" spans="1:11" ht="29.4" customHeight="1">
      <c r="A63" s="2">
        <f>ASSESSMENT!A65</f>
        <v>59</v>
      </c>
      <c r="B63" s="2" t="str">
        <f>ASSESSMENT!B65</f>
        <v>Incidentes y vulneraciones</v>
      </c>
      <c r="C63" s="2" t="str">
        <f>ASSESSMENT!D65</f>
        <v>Clasificación de severidad</v>
      </c>
      <c r="D63" s="2" t="str">
        <f>ASSESSMENT!P65</f>
        <v>Pendiente</v>
      </c>
      <c r="E63" s="2" t="str">
        <f>ASSESSMENT!U65</f>
        <v>Pendiente</v>
      </c>
      <c r="F63" s="2" t="str">
        <f>ASSESSMENT!T65</f>
        <v>Definir criterios de severidad y documentación de evaluación.</v>
      </c>
      <c r="G63" s="2">
        <f>ASSESSMENT!V65</f>
        <v>0</v>
      </c>
      <c r="H63" s="2" t="str">
        <f>ASSESSMENT!W65</f>
        <v>Por definir</v>
      </c>
      <c r="I63" s="2">
        <f>ASSESSMENT!X65</f>
        <v>0</v>
      </c>
      <c r="J63" s="2" t="str">
        <f>ASSESSMENT!Y65</f>
        <v>Pendiente</v>
      </c>
      <c r="K63" s="2">
        <f>ASSESSMENT!Z65</f>
        <v>0</v>
      </c>
    </row>
    <row r="64" spans="1:11" ht="29.4" customHeight="1">
      <c r="A64" s="2">
        <f>ASSESSMENT!A66</f>
        <v>60</v>
      </c>
      <c r="B64" s="2" t="str">
        <f>ASSESSMENT!B66</f>
        <v>Incidentes y vulneraciones</v>
      </c>
      <c r="C64" s="2" t="str">
        <f>ASSESSMENT!D66</f>
        <v>Escalamiento a dirección y áreas críticas</v>
      </c>
      <c r="D64" s="2" t="str">
        <f>ASSESSMENT!P66</f>
        <v>Pendiente</v>
      </c>
      <c r="E64" s="2" t="str">
        <f>ASSESSMENT!U66</f>
        <v>Pendiente</v>
      </c>
      <c r="F64" s="2" t="str">
        <f>ASSESSMENT!T66</f>
        <v>Definir matriz de escalamiento y contactos actualizados.</v>
      </c>
      <c r="G64" s="2">
        <f>ASSESSMENT!V66</f>
        <v>0</v>
      </c>
      <c r="H64" s="2" t="str">
        <f>ASSESSMENT!W66</f>
        <v>Por definir</v>
      </c>
      <c r="I64" s="2">
        <f>ASSESSMENT!X66</f>
        <v>0</v>
      </c>
      <c r="J64" s="2" t="str">
        <f>ASSESSMENT!Y66</f>
        <v>Pendiente</v>
      </c>
      <c r="K64" s="2">
        <f>ASSESSMENT!Z66</f>
        <v>0</v>
      </c>
    </row>
    <row r="65" spans="1:11" ht="29.4" customHeight="1">
      <c r="A65" s="2">
        <f>ASSESSMENT!A67</f>
        <v>61</v>
      </c>
      <c r="B65" s="2" t="str">
        <f>ASSESSMENT!B67</f>
        <v>Incidentes y vulneraciones</v>
      </c>
      <c r="C65" s="2" t="str">
        <f>ASSESSMENT!D67</f>
        <v>Contención y preservación de evidencia</v>
      </c>
      <c r="D65" s="2" t="str">
        <f>ASSESSMENT!P67</f>
        <v>Pendiente</v>
      </c>
      <c r="E65" s="2" t="str">
        <f>ASSESSMENT!U67</f>
        <v>Pendiente</v>
      </c>
      <c r="F65" s="2" t="str">
        <f>ASSESSMENT!T67</f>
        <v>Incluir preservación de evidencia y cadena mínima de custodia técnica.</v>
      </c>
      <c r="G65" s="2">
        <f>ASSESSMENT!V67</f>
        <v>0</v>
      </c>
      <c r="H65" s="2" t="str">
        <f>ASSESSMENT!W67</f>
        <v>Por definir</v>
      </c>
      <c r="I65" s="2">
        <f>ASSESSMENT!X67</f>
        <v>0</v>
      </c>
      <c r="J65" s="2" t="str">
        <f>ASSESSMENT!Y67</f>
        <v>Pendiente</v>
      </c>
      <c r="K65" s="2">
        <f>ASSESSMENT!Z67</f>
        <v>0</v>
      </c>
    </row>
    <row r="66" spans="1:11" ht="29.4" customHeight="1">
      <c r="A66" s="2">
        <f>ASSESSMENT!A68</f>
        <v>62</v>
      </c>
      <c r="B66" s="2" t="str">
        <f>ASSESSMENT!B68</f>
        <v>Incidentes y vulneraciones</v>
      </c>
      <c r="C66" s="2" t="str">
        <f>ASSESSMENT!D68</f>
        <v>Criterios de notificación</v>
      </c>
      <c r="D66" s="2" t="str">
        <f>ASSESSMENT!P68</f>
        <v>Pendiente</v>
      </c>
      <c r="E66" s="2" t="str">
        <f>ASSESSMENT!U68</f>
        <v>Pendiente</v>
      </c>
      <c r="F66" s="2" t="str">
        <f>ASSESSMENT!T68</f>
        <v>Definir criterios de notificación y responsables de decisión.</v>
      </c>
      <c r="G66" s="2">
        <f>ASSESSMENT!V68</f>
        <v>0</v>
      </c>
      <c r="H66" s="2" t="str">
        <f>ASSESSMENT!W68</f>
        <v>Por definir</v>
      </c>
      <c r="I66" s="2">
        <f>ASSESSMENT!X68</f>
        <v>0</v>
      </c>
      <c r="J66" s="2" t="str">
        <f>ASSESSMENT!Y68</f>
        <v>Pendiente</v>
      </c>
      <c r="K66" s="2">
        <f>ASSESSMENT!Z68</f>
        <v>0</v>
      </c>
    </row>
    <row r="67" spans="1:11" ht="29.4" customHeight="1">
      <c r="A67" s="2">
        <f>ASSESSMENT!A69</f>
        <v>63</v>
      </c>
      <c r="B67" s="2" t="str">
        <f>ASSESSMENT!B69</f>
        <v>Incidentes y vulneraciones</v>
      </c>
      <c r="C67" s="2" t="str">
        <f>ASSESSMENT!D69</f>
        <v>Pruebas o simulacros tabletop</v>
      </c>
      <c r="D67" s="2" t="str">
        <f>ASSESSMENT!P69</f>
        <v>Pendiente</v>
      </c>
      <c r="E67" s="2" t="str">
        <f>ASSESSMENT!U69</f>
        <v>Pendiente</v>
      </c>
      <c r="F67" s="2" t="str">
        <f>ASSESSMENT!T69</f>
        <v>Ejecutar simulacro semestral de incidente de datos personales.</v>
      </c>
      <c r="G67" s="2">
        <f>ASSESSMENT!V69</f>
        <v>0</v>
      </c>
      <c r="H67" s="2" t="str">
        <f>ASSESSMENT!W69</f>
        <v>Por definir</v>
      </c>
      <c r="I67" s="2">
        <f>ASSESSMENT!X69</f>
        <v>0</v>
      </c>
      <c r="J67" s="2" t="str">
        <f>ASSESSMENT!Y69</f>
        <v>Pendiente</v>
      </c>
      <c r="K67" s="2">
        <f>ASSESSMENT!Z69</f>
        <v>0</v>
      </c>
    </row>
    <row r="68" spans="1:11" ht="29.4" customHeight="1">
      <c r="A68" s="2">
        <f>ASSESSMENT!A70</f>
        <v>64</v>
      </c>
      <c r="B68" s="2" t="str">
        <f>ASSESSMENT!B70</f>
        <v>Incidentes y vulneraciones</v>
      </c>
      <c r="C68" s="2" t="str">
        <f>ASSESSMENT!D70</f>
        <v>Lecciones aprendidas y medidas correctivas</v>
      </c>
      <c r="D68" s="2" t="str">
        <f>ASSESSMENT!P70</f>
        <v>Pendiente</v>
      </c>
      <c r="E68" s="2" t="str">
        <f>ASSESSMENT!U70</f>
        <v>Pendiente</v>
      </c>
      <c r="F68" s="2" t="str">
        <f>ASSESSMENT!T70</f>
        <v>Incluir análisis post incidente y seguimiento de acciones.</v>
      </c>
      <c r="G68" s="2">
        <f>ASSESSMENT!V70</f>
        <v>0</v>
      </c>
      <c r="H68" s="2" t="str">
        <f>ASSESSMENT!W70</f>
        <v>Por definir</v>
      </c>
      <c r="I68" s="2">
        <f>ASSESSMENT!X70</f>
        <v>0</v>
      </c>
      <c r="J68" s="2" t="str">
        <f>ASSESSMENT!Y70</f>
        <v>Pendiente</v>
      </c>
      <c r="K68" s="2">
        <f>ASSESSMENT!Z70</f>
        <v>0</v>
      </c>
    </row>
    <row r="69" spans="1:11" ht="29.4" customHeight="1">
      <c r="A69" s="2">
        <f>ASSESSMENT!A71</f>
        <v>65</v>
      </c>
      <c r="B69" s="2" t="str">
        <f>ASSESSMENT!B71</f>
        <v>Riesgos, EIPD, LIA y privacidad desde el diseño</v>
      </c>
      <c r="C69" s="2" t="str">
        <f>ASSESSMENT!D71</f>
        <v>Metodología de gestión de riesgos de datos personales</v>
      </c>
      <c r="D69" s="2" t="str">
        <f>ASSESSMENT!P71</f>
        <v>Pendiente</v>
      </c>
      <c r="E69" s="2" t="str">
        <f>ASSESSMENT!U71</f>
        <v>Pendiente</v>
      </c>
      <c r="F69" s="2" t="str">
        <f>ASSESSMENT!T71</f>
        <v>Adoptar metodología de riesgos alineada a protección de datos.</v>
      </c>
      <c r="G69" s="2">
        <f>ASSESSMENT!V71</f>
        <v>0</v>
      </c>
      <c r="H69" s="2" t="str">
        <f>ASSESSMENT!W71</f>
        <v>Por definir</v>
      </c>
      <c r="I69" s="2">
        <f>ASSESSMENT!X71</f>
        <v>0</v>
      </c>
      <c r="J69" s="2" t="str">
        <f>ASSESSMENT!Y71</f>
        <v>Pendiente</v>
      </c>
      <c r="K69" s="2">
        <f>ASSESSMENT!Z71</f>
        <v>0</v>
      </c>
    </row>
    <row r="70" spans="1:11" ht="29.4" customHeight="1">
      <c r="A70" s="2">
        <f>ASSESSMENT!A72</f>
        <v>66</v>
      </c>
      <c r="B70" s="2" t="str">
        <f>ASSESSMENT!B72</f>
        <v>Riesgos, EIPD, LIA y privacidad desde el diseño</v>
      </c>
      <c r="C70" s="2" t="str">
        <f>ASSESSMENT!D72</f>
        <v>Registro de riesgos de protección de datos</v>
      </c>
      <c r="D70" s="2" t="str">
        <f>ASSESSMENT!P72</f>
        <v>Pendiente</v>
      </c>
      <c r="E70" s="2" t="str">
        <f>ASSESSMENT!U72</f>
        <v>Pendiente</v>
      </c>
      <c r="F70" s="2" t="str">
        <f>ASSESSMENT!T72</f>
        <v>Levantar registro de riesgos por tratamiento crítico.</v>
      </c>
      <c r="G70" s="2">
        <f>ASSESSMENT!V72</f>
        <v>0</v>
      </c>
      <c r="H70" s="2" t="str">
        <f>ASSESSMENT!W72</f>
        <v>Por definir</v>
      </c>
      <c r="I70" s="2">
        <f>ASSESSMENT!X72</f>
        <v>0</v>
      </c>
      <c r="J70" s="2" t="str">
        <f>ASSESSMENT!Y72</f>
        <v>Pendiente</v>
      </c>
      <c r="K70" s="2">
        <f>ASSESSMENT!Z72</f>
        <v>0</v>
      </c>
    </row>
    <row r="71" spans="1:11" ht="29.4" customHeight="1">
      <c r="A71" s="2">
        <f>ASSESSMENT!A73</f>
        <v>67</v>
      </c>
      <c r="B71" s="2" t="str">
        <f>ASSESSMENT!B73</f>
        <v>Riesgos, EIPD, LIA y privacidad desde el diseño</v>
      </c>
      <c r="C71" s="2" t="str">
        <f>ASSESSMENT!D73</f>
        <v>Criterios para EIPD</v>
      </c>
      <c r="D71" s="2" t="str">
        <f>ASSESSMENT!P73</f>
        <v>Pendiente</v>
      </c>
      <c r="E71" s="2" t="str">
        <f>ASSESSMENT!U73</f>
        <v>Pendiente</v>
      </c>
      <c r="F71" s="2" t="str">
        <f>ASSESSMENT!T73</f>
        <v>Definir criterios de activación de EIPD y registro de decisiones.</v>
      </c>
      <c r="G71" s="2">
        <f>ASSESSMENT!V73</f>
        <v>0</v>
      </c>
      <c r="H71" s="2" t="str">
        <f>ASSESSMENT!W73</f>
        <v>Por definir</v>
      </c>
      <c r="I71" s="2">
        <f>ASSESSMENT!X73</f>
        <v>0</v>
      </c>
      <c r="J71" s="2" t="str">
        <f>ASSESSMENT!Y73</f>
        <v>Pendiente</v>
      </c>
      <c r="K71" s="2">
        <f>ASSESSMENT!Z73</f>
        <v>0</v>
      </c>
    </row>
    <row r="72" spans="1:11" ht="29.4" customHeight="1">
      <c r="A72" s="2">
        <f>ASSESSMENT!A74</f>
        <v>68</v>
      </c>
      <c r="B72" s="2" t="str">
        <f>ASSESSMENT!B74</f>
        <v>Riesgos, EIPD, LIA y privacidad desde el diseño</v>
      </c>
      <c r="C72" s="2" t="str">
        <f>ASSESSMENT!D74</f>
        <v>EIPD para tratamientos de alto riesgo</v>
      </c>
      <c r="D72" s="2" t="str">
        <f>ASSESSMENT!P74</f>
        <v>Pendiente</v>
      </c>
      <c r="E72" s="2" t="str">
        <f>ASSESSMENT!U74</f>
        <v>Pendiente</v>
      </c>
      <c r="F72" s="2" t="str">
        <f>ASSESSMENT!T74</f>
        <v>Realizar EIPD para tratamientos de alto riesgo identificados.</v>
      </c>
      <c r="G72" s="2">
        <f>ASSESSMENT!V74</f>
        <v>0</v>
      </c>
      <c r="H72" s="2" t="str">
        <f>ASSESSMENT!W74</f>
        <v>Por definir</v>
      </c>
      <c r="I72" s="2">
        <f>ASSESSMENT!X74</f>
        <v>0</v>
      </c>
      <c r="J72" s="2" t="str">
        <f>ASSESSMENT!Y74</f>
        <v>Pendiente</v>
      </c>
      <c r="K72" s="2">
        <f>ASSESSMENT!Z74</f>
        <v>0</v>
      </c>
    </row>
    <row r="73" spans="1:11" ht="29.4" customHeight="1">
      <c r="A73" s="2">
        <f>ASSESSMENT!A75</f>
        <v>69</v>
      </c>
      <c r="B73" s="2" t="str">
        <f>ASSESSMENT!B75</f>
        <v>Riesgos, EIPD, LIA y privacidad desde el diseño</v>
      </c>
      <c r="C73" s="2" t="str">
        <f>ASSESSMENT!D75</f>
        <v>Interés legítimo y LIA</v>
      </c>
      <c r="D73" s="2" t="str">
        <f>ASSESSMENT!P75</f>
        <v>Pendiente</v>
      </c>
      <c r="E73" s="2" t="str">
        <f>ASSESSMENT!U75</f>
        <v>Pendiente</v>
      </c>
      <c r="F73" s="2" t="str">
        <f>ASSESSMENT!T75</f>
        <v>Documentar LIA antes de usar interés legítimo en tratamientos aplicables.</v>
      </c>
      <c r="G73" s="2">
        <f>ASSESSMENT!V75</f>
        <v>0</v>
      </c>
      <c r="H73" s="2" t="str">
        <f>ASSESSMENT!W75</f>
        <v>Por definir</v>
      </c>
      <c r="I73" s="2">
        <f>ASSESSMENT!X75</f>
        <v>0</v>
      </c>
      <c r="J73" s="2" t="str">
        <f>ASSESSMENT!Y75</f>
        <v>Pendiente</v>
      </c>
      <c r="K73" s="2">
        <f>ASSESSMENT!Z75</f>
        <v>0</v>
      </c>
    </row>
    <row r="74" spans="1:11" ht="29.4" customHeight="1">
      <c r="A74" s="2">
        <f>ASSESSMENT!A76</f>
        <v>70</v>
      </c>
      <c r="B74" s="2" t="str">
        <f>ASSESSMENT!B76</f>
        <v>Riesgos, EIPD, LIA y privacidad desde el diseño</v>
      </c>
      <c r="C74" s="2" t="str">
        <f>ASSESSMENT!D76</f>
        <v>Privacidad desde el diseño y por defecto</v>
      </c>
      <c r="D74" s="2" t="str">
        <f>ASSESSMENT!P76</f>
        <v>Pendiente</v>
      </c>
      <c r="E74" s="2" t="str">
        <f>ASSESSMENT!U76</f>
        <v>Pendiente</v>
      </c>
      <c r="F74" s="2" t="str">
        <f>ASSESSMENT!T76</f>
        <v>Incluir checklist de privacidad desde el diseño en proyectos y cambios.</v>
      </c>
      <c r="G74" s="2">
        <f>ASSESSMENT!V76</f>
        <v>0</v>
      </c>
      <c r="H74" s="2" t="str">
        <f>ASSESSMENT!W76</f>
        <v>Por definir</v>
      </c>
      <c r="I74" s="2">
        <f>ASSESSMENT!X76</f>
        <v>0</v>
      </c>
      <c r="J74" s="2" t="str">
        <f>ASSESSMENT!Y76</f>
        <v>Pendiente</v>
      </c>
      <c r="K74" s="2">
        <f>ASSESSMENT!Z76</f>
        <v>0</v>
      </c>
    </row>
    <row r="75" spans="1:11" ht="29.4" customHeight="1">
      <c r="A75" s="2">
        <f>ASSESSMENT!A77</f>
        <v>71</v>
      </c>
      <c r="B75" s="2" t="str">
        <f>ASSESSMENT!B77</f>
        <v>Riesgos, EIPD, LIA y privacidad desde el diseño</v>
      </c>
      <c r="C75" s="2" t="str">
        <f>ASSESSMENT!D77</f>
        <v>Anonimización, seudonimización y minimización avanzada</v>
      </c>
      <c r="D75" s="2" t="str">
        <f>ASSESSMENT!P77</f>
        <v>Pendiente</v>
      </c>
      <c r="E75" s="2" t="str">
        <f>ASSESSMENT!U77</f>
        <v>Pendiente</v>
      </c>
      <c r="F75" s="2" t="str">
        <f>ASSESSMENT!T77</f>
        <v>Implementar reglas para datos de prueba, análisis y reportes.</v>
      </c>
      <c r="G75" s="2">
        <f>ASSESSMENT!V77</f>
        <v>0</v>
      </c>
      <c r="H75" s="2" t="str">
        <f>ASSESSMENT!W77</f>
        <v>Por definir</v>
      </c>
      <c r="I75" s="2">
        <f>ASSESSMENT!X77</f>
        <v>0</v>
      </c>
      <c r="J75" s="2" t="str">
        <f>ASSESSMENT!Y77</f>
        <v>Pendiente</v>
      </c>
      <c r="K75" s="2">
        <f>ASSESSMENT!Z77</f>
        <v>0</v>
      </c>
    </row>
    <row r="76" spans="1:11" ht="29.4" customHeight="1">
      <c r="A76" s="2">
        <f>ASSESSMENT!A78</f>
        <v>72</v>
      </c>
      <c r="B76" s="2" t="str">
        <f>ASSESSMENT!B78</f>
        <v>Riesgos, EIPD, LIA y privacidad desde el diseño</v>
      </c>
      <c r="C76" s="2" t="str">
        <f>ASSESSMENT!D78</f>
        <v>Revisión de cambios y nuevos tratamientos</v>
      </c>
      <c r="D76" s="2" t="str">
        <f>ASSESSMENT!P78</f>
        <v>Pendiente</v>
      </c>
      <c r="E76" s="2" t="str">
        <f>ASSESSMENT!U78</f>
        <v>Pendiente</v>
      </c>
      <c r="F76" s="2" t="str">
        <f>ASSESSMENT!T78</f>
        <v>Integrar revisión de privacidad al proceso de cambios.</v>
      </c>
      <c r="G76" s="2">
        <f>ASSESSMENT!V78</f>
        <v>0</v>
      </c>
      <c r="H76" s="2" t="str">
        <f>ASSESSMENT!W78</f>
        <v>Por definir</v>
      </c>
      <c r="I76" s="2">
        <f>ASSESSMENT!X78</f>
        <v>0</v>
      </c>
      <c r="J76" s="2" t="str">
        <f>ASSESSMENT!Y78</f>
        <v>Pendiente</v>
      </c>
      <c r="K76" s="2">
        <f>ASSESSMENT!Z78</f>
        <v>0</v>
      </c>
    </row>
    <row r="77" spans="1:11" ht="29.4" customHeight="1">
      <c r="A77" s="2">
        <f>ASSESSMENT!A79</f>
        <v>73</v>
      </c>
      <c r="B77" s="2" t="str">
        <f>ASSESSMENT!B79</f>
        <v>Capacitación, cultura, auditoría y mejora continua</v>
      </c>
      <c r="C77" s="2" t="str">
        <f>ASSESSMENT!D79</f>
        <v>Plan anual de capacitación</v>
      </c>
      <c r="D77" s="2" t="str">
        <f>ASSESSMENT!P79</f>
        <v>Pendiente</v>
      </c>
      <c r="E77" s="2" t="str">
        <f>ASSESSMENT!U79</f>
        <v>Pendiente</v>
      </c>
      <c r="F77" s="2" t="str">
        <f>ASSESSMENT!T79</f>
        <v>Definir plan anual de capacitación por perfiles.</v>
      </c>
      <c r="G77" s="2">
        <f>ASSESSMENT!V79</f>
        <v>0</v>
      </c>
      <c r="H77" s="2" t="str">
        <f>ASSESSMENT!W79</f>
        <v>Por definir</v>
      </c>
      <c r="I77" s="2">
        <f>ASSESSMENT!X79</f>
        <v>0</v>
      </c>
      <c r="J77" s="2" t="str">
        <f>ASSESSMENT!Y79</f>
        <v>Pendiente</v>
      </c>
      <c r="K77" s="2">
        <f>ASSESSMENT!Z79</f>
        <v>0</v>
      </c>
    </row>
    <row r="78" spans="1:11" ht="29.4" customHeight="1">
      <c r="A78" s="2">
        <f>ASSESSMENT!A80</f>
        <v>74</v>
      </c>
      <c r="B78" s="2" t="str">
        <f>ASSESSMENT!B80</f>
        <v>Capacitación, cultura, auditoría y mejora continua</v>
      </c>
      <c r="C78" s="2" t="str">
        <f>ASSESSMENT!D80</f>
        <v>Inducción a nuevos colaboradores</v>
      </c>
      <c r="D78" s="2" t="str">
        <f>ASSESSMENT!P80</f>
        <v>Pendiente</v>
      </c>
      <c r="E78" s="2" t="str">
        <f>ASSESSMENT!U80</f>
        <v>Pendiente</v>
      </c>
      <c r="F78" s="2" t="str">
        <f>ASSESSMENT!T80</f>
        <v>Incorporar protección de datos en inducción y onboarding.</v>
      </c>
      <c r="G78" s="2">
        <f>ASSESSMENT!V80</f>
        <v>0</v>
      </c>
      <c r="H78" s="2" t="str">
        <f>ASSESSMENT!W80</f>
        <v>Por definir</v>
      </c>
      <c r="I78" s="2">
        <f>ASSESSMENT!X80</f>
        <v>0</v>
      </c>
      <c r="J78" s="2" t="str">
        <f>ASSESSMENT!Y80</f>
        <v>Pendiente</v>
      </c>
      <c r="K78" s="2">
        <f>ASSESSMENT!Z80</f>
        <v>0</v>
      </c>
    </row>
    <row r="79" spans="1:11" ht="29.4" customHeight="1">
      <c r="A79" s="2">
        <f>ASSESSMENT!A81</f>
        <v>75</v>
      </c>
      <c r="B79" s="2" t="str">
        <f>ASSESSMENT!B81</f>
        <v>Capacitación, cultura, auditoría y mejora continua</v>
      </c>
      <c r="C79" s="2" t="str">
        <f>ASSESSMENT!D81</f>
        <v>Capacitación por rol</v>
      </c>
      <c r="D79" s="2" t="str">
        <f>ASSESSMENT!P81</f>
        <v>Pendiente</v>
      </c>
      <c r="E79" s="2" t="str">
        <f>ASSESSMENT!U81</f>
        <v>Pendiente</v>
      </c>
      <c r="F79" s="2" t="str">
        <f>ASSESSMENT!T81</f>
        <v>Diseñar capacitaciones por rol y riesgo.</v>
      </c>
      <c r="G79" s="2">
        <f>ASSESSMENT!V81</f>
        <v>0</v>
      </c>
      <c r="H79" s="2" t="str">
        <f>ASSESSMENT!W81</f>
        <v>Por definir</v>
      </c>
      <c r="I79" s="2">
        <f>ASSESSMENT!X81</f>
        <v>0</v>
      </c>
      <c r="J79" s="2" t="str">
        <f>ASSESSMENT!Y81</f>
        <v>Pendiente</v>
      </c>
      <c r="K79" s="2">
        <f>ASSESSMENT!Z81</f>
        <v>0</v>
      </c>
    </row>
    <row r="80" spans="1:11" ht="29.4" customHeight="1">
      <c r="A80" s="2">
        <f>ASSESSMENT!A82</f>
        <v>76</v>
      </c>
      <c r="B80" s="2" t="str">
        <f>ASSESSMENT!B82</f>
        <v>Capacitación, cultura, auditoría y mejora continua</v>
      </c>
      <c r="C80" s="2" t="str">
        <f>ASSESSMENT!D82</f>
        <v>Evaluación de comprensión</v>
      </c>
      <c r="D80" s="2" t="str">
        <f>ASSESSMENT!P82</f>
        <v>Pendiente</v>
      </c>
      <c r="E80" s="2" t="str">
        <f>ASSESSMENT!U82</f>
        <v>Pendiente</v>
      </c>
      <c r="F80" s="2" t="str">
        <f>ASSESSMENT!T82</f>
        <v>Aplicar evaluación breve posterior a capacitaciones.</v>
      </c>
      <c r="G80" s="2">
        <f>ASSESSMENT!V82</f>
        <v>0</v>
      </c>
      <c r="H80" s="2" t="str">
        <f>ASSESSMENT!W82</f>
        <v>Por definir</v>
      </c>
      <c r="I80" s="2">
        <f>ASSESSMENT!X82</f>
        <v>0</v>
      </c>
      <c r="J80" s="2" t="str">
        <f>ASSESSMENT!Y82</f>
        <v>Pendiente</v>
      </c>
      <c r="K80" s="2">
        <f>ASSESSMENT!Z82</f>
        <v>0</v>
      </c>
    </row>
    <row r="81" spans="1:11" ht="29.4" customHeight="1">
      <c r="A81" s="2">
        <f>ASSESSMENT!A83</f>
        <v>77</v>
      </c>
      <c r="B81" s="2" t="str">
        <f>ASSESSMENT!B83</f>
        <v>Capacitación, cultura, auditoría y mejora continua</v>
      </c>
      <c r="C81" s="2" t="str">
        <f>ASSESSMENT!D83</f>
        <v>Campañas de cultura y recordatorios</v>
      </c>
      <c r="D81" s="2" t="str">
        <f>ASSESSMENT!P83</f>
        <v>Pendiente</v>
      </c>
      <c r="E81" s="2" t="str">
        <f>ASSESSMENT!U83</f>
        <v>Pendiente</v>
      </c>
      <c r="F81" s="2" t="str">
        <f>ASSESSMENT!T83</f>
        <v>Implementar campañas trimestrales de cultura de privacidad.</v>
      </c>
      <c r="G81" s="2">
        <f>ASSESSMENT!V83</f>
        <v>0</v>
      </c>
      <c r="H81" s="2" t="str">
        <f>ASSESSMENT!W83</f>
        <v>Por definir</v>
      </c>
      <c r="I81" s="2">
        <f>ASSESSMENT!X83</f>
        <v>0</v>
      </c>
      <c r="J81" s="2" t="str">
        <f>ASSESSMENT!Y83</f>
        <v>Pendiente</v>
      </c>
      <c r="K81" s="2">
        <f>ASSESSMENT!Z83</f>
        <v>0</v>
      </c>
    </row>
    <row r="82" spans="1:11" ht="29.4" customHeight="1">
      <c r="A82" s="2">
        <f>ASSESSMENT!A84</f>
        <v>78</v>
      </c>
      <c r="B82" s="2" t="str">
        <f>ASSESSMENT!B84</f>
        <v>Capacitación, cultura, auditoría y mejora continua</v>
      </c>
      <c r="C82" s="2" t="str">
        <f>ASSESSMENT!D84</f>
        <v>Auditoría o revisión interna</v>
      </c>
      <c r="D82" s="2" t="str">
        <f>ASSESSMENT!P84</f>
        <v>Pendiente</v>
      </c>
      <c r="E82" s="2" t="str">
        <f>ASSESSMENT!U84</f>
        <v>Pendiente</v>
      </c>
      <c r="F82" s="2" t="str">
        <f>ASSESSMENT!T84</f>
        <v>Programar auditoría interna anual de protección de datos.</v>
      </c>
      <c r="G82" s="2">
        <f>ASSESSMENT!V84</f>
        <v>0</v>
      </c>
      <c r="H82" s="2" t="str">
        <f>ASSESSMENT!W84</f>
        <v>Por definir</v>
      </c>
      <c r="I82" s="2">
        <f>ASSESSMENT!X84</f>
        <v>0</v>
      </c>
      <c r="J82" s="2" t="str">
        <f>ASSESSMENT!Y84</f>
        <v>Pendiente</v>
      </c>
      <c r="K82" s="2">
        <f>ASSESSMENT!Z84</f>
        <v>0</v>
      </c>
    </row>
    <row r="83" spans="1:11" ht="29.4" customHeight="1">
      <c r="A83" s="2">
        <f>ASSESSMENT!A85</f>
        <v>79</v>
      </c>
      <c r="B83" s="2" t="str">
        <f>ASSESSMENT!B85</f>
        <v>Capacitación, cultura, auditoría y mejora continua</v>
      </c>
      <c r="C83" s="2" t="str">
        <f>ASSESSMENT!D85</f>
        <v>Seguimiento de acciones correctivas</v>
      </c>
      <c r="D83" s="2" t="str">
        <f>ASSESSMENT!P85</f>
        <v>Pendiente</v>
      </c>
      <c r="E83" s="2" t="str">
        <f>ASSESSMENT!U85</f>
        <v>Pendiente</v>
      </c>
      <c r="F83" s="2" t="str">
        <f>ASSESSMENT!T85</f>
        <v>Gestionar plan de acción con responsables y evidencias.</v>
      </c>
      <c r="G83" s="2">
        <f>ASSESSMENT!V85</f>
        <v>0</v>
      </c>
      <c r="H83" s="2" t="str">
        <f>ASSESSMENT!W85</f>
        <v>Por definir</v>
      </c>
      <c r="I83" s="2">
        <f>ASSESSMENT!X85</f>
        <v>0</v>
      </c>
      <c r="J83" s="2" t="str">
        <f>ASSESSMENT!Y85</f>
        <v>Pendiente</v>
      </c>
      <c r="K83" s="2">
        <f>ASSESSMENT!Z85</f>
        <v>0</v>
      </c>
    </row>
    <row r="84" spans="1:11" ht="29.4" customHeight="1">
      <c r="A84" s="2">
        <f>ASSESSMENT!A86</f>
        <v>80</v>
      </c>
      <c r="B84" s="2" t="str">
        <f>ASSESSMENT!B86</f>
        <v>Capacitación, cultura, auditoría y mejora continua</v>
      </c>
      <c r="C84" s="2" t="str">
        <f>ASSESSMENT!D86</f>
        <v>Mejora continua y revisión por dirección</v>
      </c>
      <c r="D84" s="2" t="str">
        <f>ASSESSMENT!P86</f>
        <v>Pendiente</v>
      </c>
      <c r="E84" s="2" t="str">
        <f>ASSESSMENT!U86</f>
        <v>Pendiente</v>
      </c>
      <c r="F84" s="2" t="str">
        <f>ASSESSMENT!T86</f>
        <v>Establecer revisión por dirección y hoja de ruta anual.</v>
      </c>
      <c r="G84" s="2">
        <f>ASSESSMENT!V86</f>
        <v>0</v>
      </c>
      <c r="H84" s="2" t="str">
        <f>ASSESSMENT!W86</f>
        <v>Por definir</v>
      </c>
      <c r="I84" s="2">
        <f>ASSESSMENT!X86</f>
        <v>0</v>
      </c>
      <c r="J84" s="2" t="str">
        <f>ASSESSMENT!Y86</f>
        <v>Pendiente</v>
      </c>
      <c r="K84" s="2">
        <f>ASSESSMENT!Z86</f>
        <v>0</v>
      </c>
    </row>
  </sheetData>
  <mergeCells count="2">
    <mergeCell ref="A1:K1"/>
    <mergeCell ref="A2:K2"/>
  </mergeCells>
  <conditionalFormatting sqref="D5:D84">
    <cfRule type="expression" dxfId="1" priority="1">
      <formula>D5="Crítico"</formula>
    </cfRule>
    <cfRule type="expression" dxfId="0" priority="2">
      <formula>D5="Alto"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Views>
    <sheetView workbookViewId="0"/>
  </sheetViews>
  <sheetFormatPr baseColWidth="10" defaultColWidth="8.796875" defaultRowHeight="13.8"/>
  <cols>
    <col min="1" max="1" width="22" customWidth="1"/>
    <col min="2" max="2" width="16" customWidth="1"/>
    <col min="3" max="3" width="32" customWidth="1"/>
    <col min="4" max="4" width="42" customWidth="1"/>
  </cols>
  <sheetData>
    <row r="1" spans="1:26" ht="17.399999999999999">
      <c r="A1" s="148" t="s">
        <v>481</v>
      </c>
      <c r="B1" s="148"/>
      <c r="C1" s="148"/>
      <c r="D1" s="148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4" t="s">
        <v>26</v>
      </c>
      <c r="B2" s="14" t="s">
        <v>47</v>
      </c>
      <c r="C2" s="14" t="s">
        <v>55</v>
      </c>
      <c r="D2" s="14"/>
    </row>
    <row r="3" spans="1:26">
      <c r="A3" s="9" t="s">
        <v>28</v>
      </c>
      <c r="B3" s="9">
        <v>1</v>
      </c>
      <c r="C3" s="9">
        <v>2</v>
      </c>
      <c r="D3" s="9">
        <v>3</v>
      </c>
    </row>
    <row r="4" spans="1:26">
      <c r="A4" s="2"/>
      <c r="B4" s="2">
        <v>4</v>
      </c>
      <c r="C4" s="2">
        <v>5</v>
      </c>
      <c r="D4" s="2"/>
    </row>
    <row r="5" spans="1:26">
      <c r="A5" s="2" t="s">
        <v>29</v>
      </c>
      <c r="B5" s="2">
        <v>0</v>
      </c>
      <c r="C5" s="2">
        <v>1</v>
      </c>
      <c r="D5" s="2">
        <v>2</v>
      </c>
    </row>
    <row r="6" spans="1:26">
      <c r="A6" s="2"/>
      <c r="B6" s="2">
        <v>3</v>
      </c>
      <c r="C6" s="2">
        <v>4</v>
      </c>
      <c r="D6" s="2"/>
    </row>
    <row r="7" spans="1:26">
      <c r="A7" s="2" t="s">
        <v>482</v>
      </c>
      <c r="B7" s="2" t="s">
        <v>47</v>
      </c>
      <c r="C7" s="2" t="s">
        <v>55</v>
      </c>
      <c r="D7" s="2"/>
    </row>
    <row r="8" spans="1:26">
      <c r="A8" s="2" t="s">
        <v>477</v>
      </c>
      <c r="B8" s="2" t="s">
        <v>483</v>
      </c>
      <c r="C8" s="2" t="s">
        <v>484</v>
      </c>
      <c r="D8" s="2" t="s">
        <v>485</v>
      </c>
    </row>
    <row r="9" spans="1:26">
      <c r="A9" s="2"/>
      <c r="B9" s="2" t="s">
        <v>486</v>
      </c>
      <c r="C9" s="2" t="s">
        <v>487</v>
      </c>
      <c r="D9" s="2"/>
    </row>
    <row r="10" spans="1:26">
      <c r="A10" s="2" t="s">
        <v>42</v>
      </c>
      <c r="B10" s="2" t="s">
        <v>487</v>
      </c>
      <c r="C10" s="2" t="s">
        <v>488</v>
      </c>
      <c r="D10" s="2" t="s">
        <v>489</v>
      </c>
    </row>
    <row r="11" spans="1:26">
      <c r="A11" s="2"/>
      <c r="B11" s="2" t="s">
        <v>490</v>
      </c>
      <c r="C11" s="2" t="s">
        <v>491</v>
      </c>
      <c r="D11" s="2"/>
    </row>
    <row r="12" spans="1:26" ht="27.6">
      <c r="A12" s="2" t="s">
        <v>492</v>
      </c>
      <c r="B12" s="2" t="s">
        <v>493</v>
      </c>
      <c r="C12" s="2"/>
      <c r="D12" s="2"/>
    </row>
    <row r="13" spans="1:26" ht="55.2">
      <c r="A13" s="2" t="s">
        <v>494</v>
      </c>
      <c r="B13" s="2" t="s">
        <v>495</v>
      </c>
      <c r="C13" s="2"/>
      <c r="D13" s="2"/>
    </row>
    <row r="14" spans="1:26" ht="69">
      <c r="A14" s="2" t="s">
        <v>496</v>
      </c>
      <c r="B14" s="2" t="s">
        <v>497</v>
      </c>
      <c r="C14" s="2"/>
      <c r="D14" s="2"/>
    </row>
    <row r="15" spans="1:26" ht="82.8">
      <c r="A15" s="2" t="s">
        <v>498</v>
      </c>
      <c r="B15" s="2" t="s">
        <v>499</v>
      </c>
      <c r="C15" s="2"/>
      <c r="D15" s="2"/>
    </row>
    <row r="16" spans="1:26" ht="69">
      <c r="A16" s="2" t="s">
        <v>500</v>
      </c>
      <c r="B16" s="2" t="s">
        <v>501</v>
      </c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>
      <selection sqref="A1:E1"/>
    </sheetView>
  </sheetViews>
  <sheetFormatPr baseColWidth="10" defaultColWidth="8.796875" defaultRowHeight="13.8"/>
  <cols>
    <col min="1" max="1" width="36" customWidth="1"/>
    <col min="2" max="2" width="52" customWidth="1"/>
    <col min="3" max="3" width="27" customWidth="1"/>
    <col min="4" max="4" width="34" customWidth="1"/>
    <col min="5" max="5" width="48" customWidth="1"/>
  </cols>
  <sheetData>
    <row r="1" spans="1:26" ht="17.399999999999999">
      <c r="A1" s="148" t="s">
        <v>651</v>
      </c>
      <c r="B1" s="148"/>
      <c r="C1" s="148"/>
      <c r="D1" s="148"/>
      <c r="E1" s="148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 t="s">
        <v>652</v>
      </c>
      <c r="B2" s="11" t="s">
        <v>653</v>
      </c>
      <c r="C2" s="11" t="s">
        <v>654</v>
      </c>
      <c r="D2" s="11" t="s">
        <v>655</v>
      </c>
      <c r="E2" s="11" t="s">
        <v>656</v>
      </c>
    </row>
    <row r="3" spans="1:26" ht="38.4" customHeight="1">
      <c r="A3" s="1" t="s">
        <v>657</v>
      </c>
      <c r="B3" s="1" t="s">
        <v>658</v>
      </c>
      <c r="C3" s="1" t="s">
        <v>659</v>
      </c>
      <c r="D3" s="1" t="s">
        <v>660</v>
      </c>
      <c r="E3" s="1" t="s">
        <v>661</v>
      </c>
    </row>
    <row r="4" spans="1:26" ht="38.4" customHeight="1">
      <c r="A4" s="2" t="s">
        <v>662</v>
      </c>
      <c r="B4" s="2" t="s">
        <v>663</v>
      </c>
      <c r="C4" s="2" t="s">
        <v>664</v>
      </c>
      <c r="D4" s="2" t="s">
        <v>660</v>
      </c>
      <c r="E4" s="2" t="s">
        <v>665</v>
      </c>
    </row>
    <row r="5" spans="1:26" ht="38.4" customHeight="1">
      <c r="A5" s="2" t="s">
        <v>666</v>
      </c>
      <c r="B5" s="2" t="s">
        <v>667</v>
      </c>
      <c r="C5" s="2" t="s">
        <v>668</v>
      </c>
      <c r="D5" s="2" t="s">
        <v>669</v>
      </c>
      <c r="E5" s="2" t="s">
        <v>670</v>
      </c>
    </row>
    <row r="6" spans="1:26" ht="38.4" customHeight="1">
      <c r="A6" s="2" t="s">
        <v>671</v>
      </c>
      <c r="B6" s="2" t="s">
        <v>672</v>
      </c>
      <c r="C6" s="2" t="s">
        <v>673</v>
      </c>
      <c r="D6" s="2" t="s">
        <v>674</v>
      </c>
      <c r="E6" s="2" t="s">
        <v>675</v>
      </c>
    </row>
    <row r="7" spans="1:26" ht="38.4" customHeight="1">
      <c r="A7" s="2" t="s">
        <v>676</v>
      </c>
      <c r="B7" s="2" t="s">
        <v>677</v>
      </c>
      <c r="C7" s="2" t="s">
        <v>678</v>
      </c>
      <c r="D7" s="2" t="s">
        <v>679</v>
      </c>
      <c r="E7" s="2" t="s">
        <v>680</v>
      </c>
    </row>
    <row r="8" spans="1:26" ht="38.4" customHeight="1">
      <c r="A8" s="2" t="s">
        <v>681</v>
      </c>
      <c r="B8" s="2" t="s">
        <v>682</v>
      </c>
      <c r="C8" s="2" t="s">
        <v>678</v>
      </c>
      <c r="D8" s="2" t="s">
        <v>683</v>
      </c>
      <c r="E8" s="2" t="s">
        <v>684</v>
      </c>
    </row>
    <row r="9" spans="1:26" ht="38.4" customHeight="1">
      <c r="A9" s="2" t="s">
        <v>685</v>
      </c>
      <c r="B9" s="2" t="s">
        <v>686</v>
      </c>
      <c r="C9" s="2" t="s">
        <v>687</v>
      </c>
      <c r="D9" s="2" t="s">
        <v>688</v>
      </c>
      <c r="E9" s="2" t="s">
        <v>689</v>
      </c>
    </row>
    <row r="10" spans="1:26" ht="38.4" customHeight="1">
      <c r="A10" s="2" t="s">
        <v>690</v>
      </c>
      <c r="B10" s="2" t="s">
        <v>691</v>
      </c>
      <c r="C10" s="2" t="s">
        <v>692</v>
      </c>
      <c r="D10" s="2" t="s">
        <v>693</v>
      </c>
      <c r="E10" s="2" t="s">
        <v>694</v>
      </c>
    </row>
    <row r="11" spans="1:26" ht="38.4" customHeight="1">
      <c r="A11" s="2" t="s">
        <v>695</v>
      </c>
      <c r="B11" s="2" t="s">
        <v>696</v>
      </c>
      <c r="C11" s="2" t="s">
        <v>697</v>
      </c>
      <c r="D11" s="2" t="s">
        <v>660</v>
      </c>
      <c r="E11" s="2" t="s">
        <v>698</v>
      </c>
    </row>
    <row r="12" spans="1:26">
      <c r="A12" s="2"/>
      <c r="B12" s="2"/>
      <c r="C12" s="2"/>
      <c r="D12" s="2"/>
      <c r="E12" s="2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workbookViewId="0">
      <selection sqref="A1:D1"/>
    </sheetView>
  </sheetViews>
  <sheetFormatPr baseColWidth="10" defaultColWidth="8.796875" defaultRowHeight="13.8"/>
  <cols>
    <col min="1" max="1" width="30" customWidth="1"/>
    <col min="2" max="2" width="52" customWidth="1"/>
    <col min="3" max="3" width="24" customWidth="1"/>
    <col min="4" max="5" width="42" customWidth="1"/>
    <col min="6" max="6" width="30" customWidth="1"/>
  </cols>
  <sheetData>
    <row r="1" spans="1:26" ht="27.15" customHeight="1">
      <c r="A1" s="153" t="s">
        <v>699</v>
      </c>
      <c r="B1" s="153"/>
      <c r="C1" s="153"/>
      <c r="D1" s="153"/>
      <c r="E1" s="30"/>
      <c r="F1" s="3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43.2" customHeight="1">
      <c r="A2" s="2" t="s">
        <v>700</v>
      </c>
      <c r="B2" s="2" t="s">
        <v>701</v>
      </c>
      <c r="C2" s="2"/>
      <c r="D2" s="2"/>
      <c r="E2" s="2"/>
      <c r="F2" s="2"/>
    </row>
    <row r="3" spans="1:26" ht="49.65" customHeight="1">
      <c r="A3" s="1" t="s">
        <v>702</v>
      </c>
      <c r="B3" s="1" t="s">
        <v>703</v>
      </c>
      <c r="C3" s="1"/>
      <c r="D3" s="1"/>
      <c r="E3" s="2"/>
      <c r="F3" s="2"/>
    </row>
    <row r="4" spans="1:26" ht="9.6" customHeight="1">
      <c r="A4" s="2"/>
      <c r="B4" s="2"/>
      <c r="C4" s="2"/>
      <c r="D4" s="2"/>
      <c r="E4" s="2"/>
      <c r="F4" s="2"/>
    </row>
    <row r="5" spans="1:26" ht="22.35" customHeight="1">
      <c r="A5" s="11" t="s">
        <v>502</v>
      </c>
      <c r="B5" s="11" t="s">
        <v>503</v>
      </c>
      <c r="C5" s="11" t="s">
        <v>504</v>
      </c>
      <c r="D5" s="11" t="s">
        <v>505</v>
      </c>
      <c r="E5" s="11" t="s">
        <v>704</v>
      </c>
      <c r="F5" s="11" t="s">
        <v>506</v>
      </c>
    </row>
    <row r="6" spans="1:26" ht="109.8" customHeight="1">
      <c r="A6" s="2" t="s">
        <v>26</v>
      </c>
      <c r="B6" s="2" t="s">
        <v>507</v>
      </c>
      <c r="C6" s="2" t="s">
        <v>508</v>
      </c>
      <c r="D6" s="2" t="s">
        <v>705</v>
      </c>
      <c r="E6" s="2" t="s">
        <v>706</v>
      </c>
      <c r="F6" s="2" t="s">
        <v>509</v>
      </c>
    </row>
    <row r="7" spans="1:26" ht="67.5" customHeight="1">
      <c r="A7" s="2" t="s">
        <v>510</v>
      </c>
      <c r="B7" s="2" t="s">
        <v>511</v>
      </c>
      <c r="C7" s="2" t="s">
        <v>512</v>
      </c>
      <c r="D7" s="2" t="s">
        <v>707</v>
      </c>
      <c r="E7" s="2" t="s">
        <v>708</v>
      </c>
      <c r="F7" s="2" t="s">
        <v>513</v>
      </c>
    </row>
    <row r="8" spans="1:26" ht="84.45" customHeight="1">
      <c r="A8" s="2" t="s">
        <v>514</v>
      </c>
      <c r="B8" s="2" t="s">
        <v>515</v>
      </c>
      <c r="C8" s="2" t="s">
        <v>512</v>
      </c>
      <c r="D8" s="2" t="s">
        <v>516</v>
      </c>
      <c r="E8" s="2" t="s">
        <v>709</v>
      </c>
      <c r="F8" s="2" t="s">
        <v>517</v>
      </c>
    </row>
    <row r="9" spans="1:26" ht="118.35" customHeight="1">
      <c r="A9" s="2" t="s">
        <v>518</v>
      </c>
      <c r="B9" s="2" t="s">
        <v>519</v>
      </c>
      <c r="C9" s="2" t="s">
        <v>520</v>
      </c>
      <c r="D9" s="2" t="s">
        <v>521</v>
      </c>
      <c r="E9" s="2" t="s">
        <v>710</v>
      </c>
      <c r="F9" s="2" t="s">
        <v>522</v>
      </c>
    </row>
    <row r="10" spans="1:26" ht="50.55" customHeight="1">
      <c r="A10" s="2" t="s">
        <v>30</v>
      </c>
      <c r="B10" s="2" t="s">
        <v>523</v>
      </c>
      <c r="C10" s="2" t="s">
        <v>524</v>
      </c>
      <c r="D10" s="2" t="s">
        <v>525</v>
      </c>
      <c r="E10" s="2" t="s">
        <v>526</v>
      </c>
      <c r="F10" s="2" t="s">
        <v>527</v>
      </c>
    </row>
    <row r="11" spans="1:26" ht="67.5" customHeight="1">
      <c r="A11" s="2" t="s">
        <v>31</v>
      </c>
      <c r="B11" s="2" t="s">
        <v>528</v>
      </c>
      <c r="C11" s="2" t="s">
        <v>524</v>
      </c>
      <c r="D11" s="2" t="s">
        <v>529</v>
      </c>
      <c r="E11" s="2" t="s">
        <v>711</v>
      </c>
      <c r="F11" s="2" t="s">
        <v>530</v>
      </c>
    </row>
    <row r="12" spans="1:26" ht="67.5" customHeight="1">
      <c r="A12" s="2" t="s">
        <v>33</v>
      </c>
      <c r="B12" s="2" t="s">
        <v>531</v>
      </c>
      <c r="C12" s="2" t="s">
        <v>524</v>
      </c>
      <c r="D12" s="2" t="s">
        <v>532</v>
      </c>
      <c r="E12" s="2" t="s">
        <v>533</v>
      </c>
      <c r="F12" s="2" t="s">
        <v>534</v>
      </c>
    </row>
    <row r="13" spans="1:26" ht="50.55" customHeight="1">
      <c r="A13" s="2" t="s">
        <v>34</v>
      </c>
      <c r="B13" s="2" t="s">
        <v>535</v>
      </c>
      <c r="C13" s="2" t="s">
        <v>508</v>
      </c>
      <c r="D13" s="2" t="s">
        <v>712</v>
      </c>
      <c r="E13" s="2" t="s">
        <v>713</v>
      </c>
      <c r="F13" s="2" t="s">
        <v>536</v>
      </c>
    </row>
    <row r="14" spans="1:26" ht="9.6" customHeight="1">
      <c r="A14" s="2"/>
      <c r="B14" s="2"/>
      <c r="C14" s="2"/>
      <c r="D14" s="2"/>
      <c r="E14" s="2"/>
      <c r="F14" s="2"/>
    </row>
    <row r="15" spans="1:26" ht="16.95" customHeight="1">
      <c r="A15" s="15" t="s">
        <v>537</v>
      </c>
      <c r="B15" s="15" t="s">
        <v>538</v>
      </c>
      <c r="C15" s="15" t="s">
        <v>539</v>
      </c>
      <c r="D15" s="2"/>
      <c r="E15" s="2"/>
      <c r="F15" s="2"/>
    </row>
    <row r="16" spans="1:26" ht="25.35" customHeight="1">
      <c r="A16" s="15" t="s">
        <v>540</v>
      </c>
      <c r="B16" s="15" t="s">
        <v>541</v>
      </c>
      <c r="C16" s="15" t="s">
        <v>542</v>
      </c>
      <c r="D16" s="2"/>
      <c r="E16" s="2"/>
      <c r="F16" s="2"/>
    </row>
    <row r="17" spans="1:6" ht="25.35" customHeight="1">
      <c r="A17" s="15" t="s">
        <v>543</v>
      </c>
      <c r="B17" s="15" t="s">
        <v>544</v>
      </c>
      <c r="C17" s="15" t="s">
        <v>545</v>
      </c>
      <c r="D17" s="2"/>
      <c r="E17" s="2"/>
      <c r="F17" s="2"/>
    </row>
    <row r="18" spans="1:6" ht="33.75" customHeight="1">
      <c r="A18" s="15" t="s">
        <v>546</v>
      </c>
      <c r="B18" s="15" t="s">
        <v>547</v>
      </c>
      <c r="C18" s="15" t="s">
        <v>548</v>
      </c>
      <c r="D18" s="2"/>
      <c r="E18" s="2"/>
      <c r="F18" s="2"/>
    </row>
    <row r="19" spans="1:6" ht="42.15" customHeight="1">
      <c r="A19" s="15" t="s">
        <v>549</v>
      </c>
      <c r="B19" s="15" t="s">
        <v>550</v>
      </c>
      <c r="C19" s="15" t="s">
        <v>551</v>
      </c>
      <c r="D19" s="2"/>
      <c r="E19" s="2"/>
      <c r="F19" s="2"/>
    </row>
    <row r="20" spans="1:6" ht="42.15" customHeight="1">
      <c r="A20" s="15" t="s">
        <v>552</v>
      </c>
      <c r="B20" s="15" t="s">
        <v>553</v>
      </c>
      <c r="C20" s="15" t="s">
        <v>554</v>
      </c>
      <c r="D20" s="2"/>
      <c r="E20" s="2"/>
      <c r="F20" s="2"/>
    </row>
    <row r="21" spans="1:6" ht="9.6" customHeight="1">
      <c r="A21" s="2"/>
      <c r="B21" s="2"/>
      <c r="C21" s="2"/>
      <c r="D21" s="2"/>
      <c r="E21" s="2"/>
      <c r="F21" s="2"/>
    </row>
    <row r="22" spans="1:6" ht="76.05" customHeight="1">
      <c r="A22" s="16" t="s">
        <v>714</v>
      </c>
      <c r="B22" s="16" t="s">
        <v>715</v>
      </c>
      <c r="C22" s="16"/>
      <c r="D22" s="16"/>
      <c r="E22" s="16"/>
      <c r="F22" s="16"/>
    </row>
    <row r="23" spans="1:6" ht="42.15" customHeight="1">
      <c r="A23" s="16" t="s">
        <v>716</v>
      </c>
      <c r="B23" s="16" t="s">
        <v>717</v>
      </c>
      <c r="C23" s="16"/>
      <c r="D23" s="16"/>
      <c r="E23" s="16"/>
      <c r="F23" s="16"/>
    </row>
    <row r="24" spans="1:6" ht="9.6" customHeight="1">
      <c r="A24" s="2"/>
      <c r="B24" s="2"/>
      <c r="C24" s="2"/>
      <c r="D24" s="2"/>
      <c r="E24" s="2"/>
      <c r="F24" s="2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sqref="A1:E1"/>
    </sheetView>
  </sheetViews>
  <sheetFormatPr baseColWidth="10" defaultColWidth="8.796875" defaultRowHeight="13.8"/>
  <cols>
    <col min="1" max="1" width="30" customWidth="1"/>
    <col min="2" max="2" width="44" customWidth="1"/>
    <col min="3" max="3" width="24" customWidth="1"/>
    <col min="4" max="5" width="44" customWidth="1"/>
  </cols>
  <sheetData>
    <row r="1" spans="1:26" ht="27.15" customHeight="1">
      <c r="A1" s="154" t="s">
        <v>718</v>
      </c>
      <c r="B1" s="154"/>
      <c r="C1" s="154"/>
      <c r="D1" s="154"/>
      <c r="E1" s="154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7.15" customHeight="1">
      <c r="A2" s="25" t="s">
        <v>719</v>
      </c>
      <c r="B2" s="25" t="s">
        <v>720</v>
      </c>
      <c r="C2" s="25" t="s">
        <v>721</v>
      </c>
      <c r="D2" s="25" t="s">
        <v>722</v>
      </c>
      <c r="E2" s="25" t="s">
        <v>723</v>
      </c>
    </row>
    <row r="3" spans="1:26" ht="43.2" customHeight="1">
      <c r="A3" s="3" t="s">
        <v>593</v>
      </c>
      <c r="B3" s="3" t="s">
        <v>724</v>
      </c>
      <c r="C3" s="3" t="s">
        <v>725</v>
      </c>
      <c r="D3" s="3" t="s">
        <v>726</v>
      </c>
      <c r="E3" s="3" t="s">
        <v>727</v>
      </c>
    </row>
    <row r="4" spans="1:26" ht="43.2" customHeight="1">
      <c r="A4" s="3" t="s">
        <v>599</v>
      </c>
      <c r="B4" s="3" t="s">
        <v>728</v>
      </c>
      <c r="C4" s="3" t="s">
        <v>729</v>
      </c>
      <c r="D4" s="3" t="s">
        <v>730</v>
      </c>
      <c r="E4" s="3" t="s">
        <v>731</v>
      </c>
    </row>
    <row r="5" spans="1:26" ht="43.2" customHeight="1">
      <c r="A5" s="3" t="s">
        <v>732</v>
      </c>
      <c r="B5" s="3" t="s">
        <v>733</v>
      </c>
      <c r="C5" s="3" t="s">
        <v>734</v>
      </c>
      <c r="D5" s="3" t="s">
        <v>735</v>
      </c>
      <c r="E5" s="3" t="s">
        <v>736</v>
      </c>
    </row>
    <row r="6" spans="1:26" ht="43.2" customHeight="1">
      <c r="A6" s="3" t="s">
        <v>611</v>
      </c>
      <c r="B6" s="3" t="s">
        <v>737</v>
      </c>
      <c r="C6" s="3" t="s">
        <v>729</v>
      </c>
      <c r="D6" s="3" t="s">
        <v>738</v>
      </c>
      <c r="E6" s="3" t="s">
        <v>739</v>
      </c>
    </row>
    <row r="7" spans="1:26" ht="43.2" customHeight="1">
      <c r="A7" s="3" t="s">
        <v>740</v>
      </c>
      <c r="B7" s="3" t="s">
        <v>741</v>
      </c>
      <c r="C7" s="3" t="s">
        <v>725</v>
      </c>
      <c r="D7" s="3" t="s">
        <v>742</v>
      </c>
      <c r="E7" s="3" t="s">
        <v>743</v>
      </c>
    </row>
    <row r="8" spans="1:26" ht="43.2" customHeight="1">
      <c r="A8" s="3" t="s">
        <v>623</v>
      </c>
      <c r="B8" s="3" t="s">
        <v>744</v>
      </c>
      <c r="C8" s="3" t="s">
        <v>745</v>
      </c>
      <c r="D8" s="3" t="s">
        <v>746</v>
      </c>
      <c r="E8" s="3" t="s">
        <v>747</v>
      </c>
    </row>
    <row r="9" spans="1:26" ht="43.2" customHeight="1">
      <c r="A9" s="3" t="s">
        <v>629</v>
      </c>
      <c r="B9" s="3" t="s">
        <v>748</v>
      </c>
      <c r="C9" s="3" t="s">
        <v>749</v>
      </c>
      <c r="D9" s="3" t="s">
        <v>750</v>
      </c>
      <c r="E9" s="3" t="s">
        <v>751</v>
      </c>
    </row>
    <row r="10" spans="1:26" ht="43.2" customHeight="1">
      <c r="A10" s="3" t="s">
        <v>752</v>
      </c>
      <c r="B10" s="3" t="s">
        <v>753</v>
      </c>
      <c r="C10" s="3" t="s">
        <v>754</v>
      </c>
      <c r="D10" s="3" t="s">
        <v>755</v>
      </c>
      <c r="E10" s="3" t="s">
        <v>756</v>
      </c>
    </row>
    <row r="11" spans="1:26" ht="43.2" customHeight="1">
      <c r="A11" s="3" t="s">
        <v>757</v>
      </c>
      <c r="B11" s="3" t="s">
        <v>758</v>
      </c>
      <c r="C11" s="3" t="s">
        <v>759</v>
      </c>
      <c r="D11" s="3" t="s">
        <v>760</v>
      </c>
      <c r="E11" s="3" t="s">
        <v>761</v>
      </c>
    </row>
    <row r="12" spans="1:26" ht="43.2" customHeight="1">
      <c r="A12" s="3" t="s">
        <v>762</v>
      </c>
      <c r="B12" s="3" t="s">
        <v>763</v>
      </c>
      <c r="C12" s="3" t="s">
        <v>764</v>
      </c>
      <c r="D12" s="3" t="s">
        <v>765</v>
      </c>
      <c r="E12" s="3" t="s">
        <v>766</v>
      </c>
    </row>
    <row r="13" spans="1:26" ht="43.2" customHeight="1">
      <c r="A13" s="3" t="s">
        <v>767</v>
      </c>
      <c r="B13" s="3" t="s">
        <v>768</v>
      </c>
      <c r="C13" s="3" t="s">
        <v>764</v>
      </c>
      <c r="D13" s="3" t="s">
        <v>769</v>
      </c>
      <c r="E13" s="3" t="s">
        <v>770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sqref="A1:F1"/>
    </sheetView>
  </sheetViews>
  <sheetFormatPr baseColWidth="10" defaultColWidth="8.796875" defaultRowHeight="13.8"/>
  <cols>
    <col min="1" max="1" width="26" customWidth="1"/>
    <col min="2" max="2" width="40" customWidth="1"/>
    <col min="3" max="3" width="28" customWidth="1"/>
    <col min="4" max="4" width="40" customWidth="1"/>
    <col min="5" max="5" width="34" customWidth="1"/>
    <col min="6" max="6" width="18" customWidth="1"/>
  </cols>
  <sheetData>
    <row r="1" spans="1:6" ht="27.15" customHeight="1">
      <c r="A1" s="155" t="s">
        <v>771</v>
      </c>
      <c r="B1" s="155"/>
      <c r="C1" s="155"/>
      <c r="D1" s="155"/>
      <c r="E1" s="155"/>
      <c r="F1" s="155"/>
    </row>
    <row r="2" spans="1:6" ht="25.65" customHeight="1">
      <c r="A2" s="156" t="s">
        <v>772</v>
      </c>
      <c r="B2" s="156"/>
      <c r="C2" s="156"/>
      <c r="D2" s="156"/>
      <c r="E2" s="156"/>
      <c r="F2" s="156"/>
    </row>
    <row r="4" spans="1:6" ht="33.6" customHeight="1">
      <c r="A4" s="25" t="s">
        <v>773</v>
      </c>
      <c r="B4" s="25" t="s">
        <v>774</v>
      </c>
      <c r="C4" s="25" t="s">
        <v>775</v>
      </c>
      <c r="D4" s="25" t="s">
        <v>776</v>
      </c>
      <c r="E4" s="25" t="s">
        <v>777</v>
      </c>
      <c r="F4" s="25" t="s">
        <v>480</v>
      </c>
    </row>
    <row r="5" spans="1:6" ht="33.6" customHeight="1">
      <c r="A5" s="3" t="s">
        <v>778</v>
      </c>
      <c r="B5" s="3" t="s">
        <v>779</v>
      </c>
      <c r="C5" s="27"/>
      <c r="D5" s="3" t="s">
        <v>780</v>
      </c>
      <c r="E5" s="3" t="s">
        <v>781</v>
      </c>
      <c r="F5" s="28" t="s">
        <v>782</v>
      </c>
    </row>
    <row r="6" spans="1:6" ht="33.6" customHeight="1">
      <c r="A6" s="26" t="s">
        <v>783</v>
      </c>
      <c r="B6" s="26" t="s">
        <v>784</v>
      </c>
      <c r="C6" s="27"/>
      <c r="D6" s="26" t="s">
        <v>785</v>
      </c>
      <c r="E6" s="26" t="s">
        <v>786</v>
      </c>
      <c r="F6" s="28" t="s">
        <v>782</v>
      </c>
    </row>
    <row r="7" spans="1:6" ht="33.6" customHeight="1">
      <c r="A7" s="3" t="s">
        <v>787</v>
      </c>
      <c r="B7" s="3" t="s">
        <v>788</v>
      </c>
      <c r="C7" s="27"/>
      <c r="D7" s="3" t="s">
        <v>789</v>
      </c>
      <c r="E7" s="3" t="s">
        <v>790</v>
      </c>
      <c r="F7" s="28" t="s">
        <v>782</v>
      </c>
    </row>
    <row r="8" spans="1:6" ht="33.6" customHeight="1">
      <c r="A8" s="26" t="s">
        <v>791</v>
      </c>
      <c r="B8" s="26" t="s">
        <v>792</v>
      </c>
      <c r="C8" s="27"/>
      <c r="D8" s="26" t="s">
        <v>793</v>
      </c>
      <c r="E8" s="26" t="s">
        <v>794</v>
      </c>
      <c r="F8" s="28" t="s">
        <v>782</v>
      </c>
    </row>
    <row r="9" spans="1:6" ht="33.6" customHeight="1">
      <c r="A9" s="3" t="s">
        <v>795</v>
      </c>
      <c r="B9" s="3" t="s">
        <v>796</v>
      </c>
      <c r="C9" s="27"/>
      <c r="D9" s="3" t="s">
        <v>797</v>
      </c>
      <c r="E9" s="3" t="s">
        <v>798</v>
      </c>
      <c r="F9" s="28" t="s">
        <v>782</v>
      </c>
    </row>
    <row r="10" spans="1:6" ht="33.6" customHeight="1">
      <c r="A10" s="26" t="s">
        <v>799</v>
      </c>
      <c r="B10" s="26" t="s">
        <v>800</v>
      </c>
      <c r="C10" s="27"/>
      <c r="D10" s="26" t="s">
        <v>801</v>
      </c>
      <c r="E10" s="26" t="s">
        <v>802</v>
      </c>
      <c r="F10" s="28" t="s">
        <v>782</v>
      </c>
    </row>
    <row r="11" spans="1:6" ht="33.6" customHeight="1">
      <c r="A11" s="3" t="s">
        <v>803</v>
      </c>
      <c r="B11" s="3" t="s">
        <v>804</v>
      </c>
      <c r="C11" s="27"/>
      <c r="D11" s="3" t="s">
        <v>805</v>
      </c>
      <c r="E11" s="3" t="s">
        <v>806</v>
      </c>
      <c r="F11" s="28" t="s">
        <v>782</v>
      </c>
    </row>
    <row r="12" spans="1:6" ht="33.6" customHeight="1">
      <c r="A12" s="26" t="s">
        <v>807</v>
      </c>
      <c r="B12" s="26" t="s">
        <v>808</v>
      </c>
      <c r="C12" s="27"/>
      <c r="D12" s="26" t="s">
        <v>809</v>
      </c>
      <c r="E12" s="26" t="s">
        <v>810</v>
      </c>
      <c r="F12" s="28" t="s">
        <v>782</v>
      </c>
    </row>
    <row r="13" spans="1:6" ht="33.6" customHeight="1">
      <c r="A13" s="3" t="s">
        <v>811</v>
      </c>
      <c r="B13" s="3" t="s">
        <v>812</v>
      </c>
      <c r="C13" s="27"/>
      <c r="D13" s="3" t="s">
        <v>813</v>
      </c>
      <c r="E13" s="3" t="s">
        <v>814</v>
      </c>
      <c r="F13" s="28" t="s">
        <v>782</v>
      </c>
    </row>
    <row r="14" spans="1:6" ht="33.6" customHeight="1">
      <c r="A14" s="26" t="s">
        <v>815</v>
      </c>
      <c r="B14" s="26" t="s">
        <v>816</v>
      </c>
      <c r="C14" s="27"/>
      <c r="D14" s="26" t="s">
        <v>817</v>
      </c>
      <c r="E14" s="26" t="s">
        <v>818</v>
      </c>
      <c r="F14" s="28" t="s">
        <v>782</v>
      </c>
    </row>
    <row r="15" spans="1:6" ht="33.6" customHeight="1">
      <c r="A15" s="3" t="s">
        <v>819</v>
      </c>
      <c r="B15" s="3" t="s">
        <v>820</v>
      </c>
      <c r="C15" s="27"/>
      <c r="D15" s="3" t="s">
        <v>821</v>
      </c>
      <c r="E15" s="3" t="s">
        <v>822</v>
      </c>
      <c r="F15" s="28" t="s">
        <v>782</v>
      </c>
    </row>
    <row r="16" spans="1:6" ht="33.6" customHeight="1">
      <c r="A16" s="26" t="s">
        <v>823</v>
      </c>
      <c r="B16" s="26" t="s">
        <v>824</v>
      </c>
      <c r="C16" s="27"/>
      <c r="D16" s="26" t="s">
        <v>825</v>
      </c>
      <c r="E16" s="26" t="s">
        <v>826</v>
      </c>
      <c r="F16" s="28" t="s">
        <v>782</v>
      </c>
    </row>
    <row r="17" spans="1:6" ht="33.6" customHeight="1">
      <c r="A17" s="3" t="s">
        <v>827</v>
      </c>
      <c r="B17" s="3" t="s">
        <v>828</v>
      </c>
      <c r="C17" s="27"/>
      <c r="D17" s="3" t="s">
        <v>829</v>
      </c>
      <c r="E17" s="3" t="s">
        <v>830</v>
      </c>
      <c r="F17" s="28" t="s">
        <v>782</v>
      </c>
    </row>
    <row r="18" spans="1:6" ht="33.6" customHeight="1">
      <c r="A18" s="26" t="s">
        <v>831</v>
      </c>
      <c r="B18" s="26" t="s">
        <v>832</v>
      </c>
      <c r="C18" s="27"/>
      <c r="D18" s="26" t="s">
        <v>833</v>
      </c>
      <c r="E18" s="26" t="s">
        <v>834</v>
      </c>
      <c r="F18" s="28" t="s">
        <v>782</v>
      </c>
    </row>
    <row r="19" spans="1:6" ht="33.6" customHeight="1">
      <c r="A19" s="3" t="s">
        <v>835</v>
      </c>
      <c r="B19" s="3" t="s">
        <v>836</v>
      </c>
      <c r="C19" s="27"/>
      <c r="D19" s="3" t="s">
        <v>837</v>
      </c>
      <c r="E19" s="3" t="s">
        <v>838</v>
      </c>
      <c r="F19" s="28" t="s">
        <v>782</v>
      </c>
    </row>
    <row r="20" spans="1:6" ht="33.6" customHeight="1">
      <c r="A20" s="26" t="s">
        <v>839</v>
      </c>
      <c r="B20" s="26" t="s">
        <v>840</v>
      </c>
      <c r="C20" s="27"/>
      <c r="D20" s="26" t="s">
        <v>841</v>
      </c>
      <c r="E20" s="26" t="s">
        <v>842</v>
      </c>
      <c r="F20" s="28" t="s">
        <v>782</v>
      </c>
    </row>
    <row r="21" spans="1:6" ht="33.6" customHeight="1">
      <c r="A21" s="3" t="s">
        <v>843</v>
      </c>
      <c r="B21" s="3" t="s">
        <v>844</v>
      </c>
      <c r="C21" s="27"/>
      <c r="D21" s="3" t="s">
        <v>845</v>
      </c>
      <c r="E21" s="3" t="s">
        <v>846</v>
      </c>
      <c r="F21" s="28" t="s">
        <v>782</v>
      </c>
    </row>
    <row r="22" spans="1:6" ht="33.6" customHeight="1">
      <c r="A22" s="26" t="s">
        <v>847</v>
      </c>
      <c r="B22" s="26" t="s">
        <v>848</v>
      </c>
      <c r="C22" s="27"/>
      <c r="D22" s="26" t="s">
        <v>849</v>
      </c>
      <c r="E22" s="26" t="s">
        <v>850</v>
      </c>
      <c r="F22" s="28" t="s">
        <v>782</v>
      </c>
    </row>
    <row r="23" spans="1:6" ht="33.6" customHeight="1">
      <c r="A23" s="3" t="s">
        <v>851</v>
      </c>
      <c r="B23" s="3" t="s">
        <v>852</v>
      </c>
      <c r="C23" s="27"/>
      <c r="D23" s="3" t="s">
        <v>853</v>
      </c>
      <c r="E23" s="3" t="s">
        <v>854</v>
      </c>
      <c r="F23" s="28" t="s">
        <v>782</v>
      </c>
    </row>
    <row r="24" spans="1:6" ht="33.6" customHeight="1">
      <c r="A24" s="26" t="s">
        <v>855</v>
      </c>
      <c r="B24" s="26" t="s">
        <v>856</v>
      </c>
      <c r="C24" s="27"/>
      <c r="D24" s="26" t="s">
        <v>857</v>
      </c>
      <c r="E24" s="26" t="s">
        <v>858</v>
      </c>
      <c r="F24" s="28" t="s">
        <v>782</v>
      </c>
    </row>
    <row r="25" spans="1:6" ht="33.6" customHeight="1">
      <c r="A25" s="3" t="s">
        <v>859</v>
      </c>
      <c r="B25" s="3" t="s">
        <v>860</v>
      </c>
      <c r="C25" s="27"/>
      <c r="D25" s="3" t="s">
        <v>861</v>
      </c>
      <c r="E25" s="3" t="s">
        <v>862</v>
      </c>
      <c r="F25" s="28" t="s">
        <v>782</v>
      </c>
    </row>
    <row r="26" spans="1:6" ht="33.6" customHeight="1">
      <c r="A26" s="26" t="s">
        <v>863</v>
      </c>
      <c r="B26" s="26" t="s">
        <v>864</v>
      </c>
      <c r="C26" s="27"/>
      <c r="D26" s="26" t="s">
        <v>865</v>
      </c>
      <c r="E26" s="26" t="s">
        <v>866</v>
      </c>
      <c r="F26" s="28" t="s">
        <v>782</v>
      </c>
    </row>
    <row r="27" spans="1:6" ht="33.6" customHeight="1">
      <c r="A27" s="3" t="s">
        <v>867</v>
      </c>
      <c r="B27" s="3" t="s">
        <v>868</v>
      </c>
      <c r="C27" s="27"/>
      <c r="D27" s="3" t="s">
        <v>869</v>
      </c>
      <c r="E27" s="3" t="s">
        <v>870</v>
      </c>
      <c r="F27" s="28" t="s">
        <v>782</v>
      </c>
    </row>
    <row r="28" spans="1:6" ht="33.6" customHeight="1">
      <c r="A28" s="26" t="s">
        <v>871</v>
      </c>
      <c r="B28" s="26" t="s">
        <v>872</v>
      </c>
      <c r="C28" s="27"/>
      <c r="D28" s="26" t="s">
        <v>873</v>
      </c>
      <c r="E28" s="26" t="s">
        <v>874</v>
      </c>
      <c r="F28" s="28" t="s">
        <v>782</v>
      </c>
    </row>
    <row r="29" spans="1:6" ht="33.6" customHeight="1">
      <c r="A29" s="3" t="s">
        <v>875</v>
      </c>
      <c r="B29" s="3" t="s">
        <v>876</v>
      </c>
      <c r="C29" s="27"/>
      <c r="D29" s="3" t="s">
        <v>877</v>
      </c>
      <c r="E29" s="3" t="s">
        <v>878</v>
      </c>
      <c r="F29" s="28" t="s">
        <v>782</v>
      </c>
    </row>
  </sheetData>
  <mergeCells count="2">
    <mergeCell ref="A1:F1"/>
    <mergeCell ref="A2:F2"/>
  </mergeCells>
  <dataValidations count="1">
    <dataValidation type="list" sqref="F5:F29">
      <formula1>"Por validar,Validado,No aplica,Requiere evidencia"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selection sqref="A1:H1"/>
    </sheetView>
  </sheetViews>
  <sheetFormatPr baseColWidth="10" defaultColWidth="8.796875" defaultRowHeight="13.8"/>
  <cols>
    <col min="1" max="1" width="22" customWidth="1"/>
    <col min="2" max="2" width="42" customWidth="1"/>
    <col min="3" max="4" width="22" customWidth="1"/>
    <col min="5" max="6" width="12" customWidth="1"/>
    <col min="7" max="7" width="14" customWidth="1"/>
    <col min="8" max="8" width="36" customWidth="1"/>
  </cols>
  <sheetData>
    <row r="1" spans="1:8" ht="22.35" customHeight="1">
      <c r="A1" s="164" t="s">
        <v>879</v>
      </c>
      <c r="B1" s="164"/>
      <c r="C1" s="164"/>
      <c r="D1" s="164"/>
      <c r="E1" s="164"/>
      <c r="F1" s="164"/>
      <c r="G1" s="164"/>
      <c r="H1" s="164"/>
    </row>
    <row r="2" spans="1:8" ht="33.6" customHeight="1">
      <c r="A2" s="165" t="s">
        <v>880</v>
      </c>
      <c r="B2" s="165"/>
      <c r="C2" s="165"/>
      <c r="D2" s="165"/>
      <c r="E2" s="165"/>
      <c r="F2" s="165"/>
      <c r="G2" s="165"/>
      <c r="H2" s="165"/>
    </row>
    <row r="3" spans="1:8">
      <c r="A3" s="2"/>
      <c r="B3" s="2"/>
      <c r="C3" s="2"/>
      <c r="D3" s="2"/>
      <c r="E3" s="2"/>
      <c r="F3" s="2"/>
      <c r="G3" s="2"/>
      <c r="H3" s="2"/>
    </row>
    <row r="4" spans="1:8" ht="27.6">
      <c r="A4" s="31" t="s">
        <v>881</v>
      </c>
      <c r="B4" s="32">
        <f>(COUNTA(C20:C30)+COUNTA(C35:C42)+COUNTA(C46:C51)+COUNTA(C55:C61))/32</f>
        <v>0</v>
      </c>
      <c r="C4" s="33" t="s">
        <v>882</v>
      </c>
      <c r="D4" s="34" t="str">
        <f>IF(OR(B4&lt;0.6,COUNT(C25:C30)=0),"",B70)</f>
        <v/>
      </c>
      <c r="E4" s="33" t="s">
        <v>5</v>
      </c>
      <c r="F4" s="35" t="str">
        <f>IF(OR(B4&lt;0.6,COUNT(C25:C30)=0),"Información insuficiente",IF(D4&lt;=25,"Baja",IF(D4&lt;=50,"Media",IF(D4&lt;=75,"Alta","Muy alta"))))</f>
        <v>Información insuficiente</v>
      </c>
      <c r="G4" s="33" t="s">
        <v>883</v>
      </c>
      <c r="H4" s="36" t="str">
        <f>IF(OR(B4&lt;0.6,COUNT(C25:C30)=0),"",$C$14+D4*$C$15)</f>
        <v/>
      </c>
    </row>
    <row r="5" spans="1:8" ht="27.6">
      <c r="A5" s="37" t="s">
        <v>884</v>
      </c>
      <c r="B5" s="38" t="str">
        <f>IF(OR(OR(B4&lt;0.6,COUNT(C25:C30)=0),$C$11&lt;=0),"",ROUNDUP(H4/$C$11,0))</f>
        <v/>
      </c>
      <c r="C5" s="39" t="s">
        <v>885</v>
      </c>
      <c r="D5" s="40" t="str">
        <f>IF(OR(OR(B4&lt;0.6,COUNT(C25:C30)=0),$C$10&lt;=0),"",H4*$C$10*(1+$C$12)*$C$13)</f>
        <v/>
      </c>
      <c r="E5" s="39" t="s">
        <v>886</v>
      </c>
      <c r="F5" s="40" t="str">
        <f>IF(D5="","",D5*(1-$C$16))</f>
        <v/>
      </c>
      <c r="G5" s="39" t="s">
        <v>887</v>
      </c>
      <c r="H5" s="41" t="str">
        <f>IF(D5="","",D5*(1+$C$16))</f>
        <v/>
      </c>
    </row>
    <row r="6" spans="1:8">
      <c r="A6" s="42"/>
      <c r="B6" s="43"/>
      <c r="C6" s="43"/>
      <c r="D6" s="43"/>
      <c r="E6" s="43"/>
      <c r="F6" s="43"/>
      <c r="G6" s="43"/>
      <c r="H6" s="44"/>
    </row>
    <row r="7" spans="1:8">
      <c r="A7" s="45" t="s">
        <v>888</v>
      </c>
      <c r="B7" s="166" t="str">
        <f>IF(OR(B4&lt;0.6,COUNT(C25:C30)=0),"Completar información para estimar",IF(D4&lt;=25,"1 consultor líder + apoyo puntual",IF(D4&lt;=50,"1 consultor líder + 1 especialista",IF(D4&lt;=75,"2 consultores / especialistas","Equipo multidisciplinario de 2 a 3+ perfiles"))))</f>
        <v>Completar información para estimar</v>
      </c>
      <c r="C7" s="166"/>
      <c r="D7" s="166"/>
      <c r="E7" s="166"/>
      <c r="F7" s="166"/>
      <c r="G7" s="166"/>
      <c r="H7" s="167"/>
    </row>
    <row r="8" spans="1:8">
      <c r="A8" s="45" t="s">
        <v>889</v>
      </c>
      <c r="B8" s="166" t="str">
        <f>IF(OR(B4&lt;0.6,COUNT(C25:C30)=0),"Completar información para estimar",IF(D4&lt;=25,"Assessment + implementación base",IF(D4&lt;=50,"Proyecto estándar de diagnóstico e implementación",IF(D4&lt;=75,"Proyecto ampliado con remediación priorizada","Proyecto complejo por fases / oleadas"))))</f>
        <v>Completar información para estimar</v>
      </c>
      <c r="C8" s="166"/>
      <c r="D8" s="166"/>
      <c r="E8" s="166"/>
      <c r="F8" s="166"/>
      <c r="G8" s="166"/>
      <c r="H8" s="167"/>
    </row>
    <row r="9" spans="1:8">
      <c r="A9" s="168" t="s">
        <v>890</v>
      </c>
      <c r="B9" s="169"/>
      <c r="C9" s="169"/>
      <c r="D9" s="169"/>
      <c r="E9" s="169"/>
      <c r="F9" s="169"/>
      <c r="G9" s="169"/>
      <c r="H9" s="170"/>
    </row>
    <row r="10" spans="1:8" ht="27.15" customHeight="1">
      <c r="A10" s="46" t="s">
        <v>891</v>
      </c>
      <c r="B10" s="47" t="s">
        <v>892</v>
      </c>
      <c r="C10" s="48">
        <v>0</v>
      </c>
      <c r="D10" s="47" t="s">
        <v>893</v>
      </c>
      <c r="E10" s="47"/>
      <c r="F10" s="47"/>
      <c r="G10" s="47"/>
      <c r="H10" s="49" t="s">
        <v>894</v>
      </c>
    </row>
    <row r="11" spans="1:8" ht="27.15" customHeight="1">
      <c r="A11" s="46" t="s">
        <v>895</v>
      </c>
      <c r="B11" s="47" t="s">
        <v>896</v>
      </c>
      <c r="C11" s="50">
        <v>12</v>
      </c>
      <c r="D11" s="47" t="s">
        <v>897</v>
      </c>
      <c r="E11" s="47"/>
      <c r="F11" s="47"/>
      <c r="G11" s="47"/>
      <c r="H11" s="49" t="s">
        <v>898</v>
      </c>
    </row>
    <row r="12" spans="1:8" ht="27.15" customHeight="1">
      <c r="A12" s="46" t="s">
        <v>899</v>
      </c>
      <c r="B12" s="47" t="s">
        <v>900</v>
      </c>
      <c r="C12" s="51">
        <v>0.15</v>
      </c>
      <c r="D12" s="47" t="s">
        <v>901</v>
      </c>
      <c r="E12" s="47"/>
      <c r="F12" s="47"/>
      <c r="G12" s="47"/>
      <c r="H12" s="49" t="s">
        <v>902</v>
      </c>
    </row>
    <row r="13" spans="1:8" ht="27.15" customHeight="1">
      <c r="A13" s="46" t="s">
        <v>903</v>
      </c>
      <c r="B13" s="47" t="s">
        <v>904</v>
      </c>
      <c r="C13" s="52">
        <v>1</v>
      </c>
      <c r="D13" s="47" t="s">
        <v>905</v>
      </c>
      <c r="E13" s="47"/>
      <c r="F13" s="47"/>
      <c r="G13" s="47"/>
      <c r="H13" s="49" t="s">
        <v>906</v>
      </c>
    </row>
    <row r="14" spans="1:8" ht="27.15" customHeight="1">
      <c r="A14" s="46" t="s">
        <v>907</v>
      </c>
      <c r="B14" s="47" t="s">
        <v>908</v>
      </c>
      <c r="C14" s="52">
        <v>40</v>
      </c>
      <c r="D14" s="47" t="s">
        <v>909</v>
      </c>
      <c r="E14" s="47"/>
      <c r="F14" s="47"/>
      <c r="G14" s="47"/>
      <c r="H14" s="49" t="s">
        <v>910</v>
      </c>
    </row>
    <row r="15" spans="1:8" ht="27.15" customHeight="1">
      <c r="A15" s="46" t="s">
        <v>911</v>
      </c>
      <c r="B15" s="47" t="s">
        <v>912</v>
      </c>
      <c r="C15" s="52">
        <v>2.1</v>
      </c>
      <c r="D15" s="47" t="s">
        <v>913</v>
      </c>
      <c r="E15" s="47"/>
      <c r="F15" s="47"/>
      <c r="G15" s="47"/>
      <c r="H15" s="49" t="s">
        <v>914</v>
      </c>
    </row>
    <row r="16" spans="1:8" ht="27.15" customHeight="1">
      <c r="A16" s="46" t="s">
        <v>915</v>
      </c>
      <c r="B16" s="47" t="s">
        <v>916</v>
      </c>
      <c r="C16" s="51">
        <v>0.1</v>
      </c>
      <c r="D16" s="47" t="s">
        <v>901</v>
      </c>
      <c r="E16" s="47"/>
      <c r="F16" s="47"/>
      <c r="G16" s="47"/>
      <c r="H16" s="49" t="s">
        <v>917</v>
      </c>
    </row>
    <row r="17" spans="1:8">
      <c r="A17" s="42"/>
      <c r="B17" s="43"/>
      <c r="C17" s="43"/>
      <c r="D17" s="43"/>
      <c r="E17" s="43"/>
      <c r="F17" s="43"/>
      <c r="G17" s="43"/>
      <c r="H17" s="44"/>
    </row>
    <row r="18" spans="1:8">
      <c r="A18" s="158" t="s">
        <v>918</v>
      </c>
      <c r="B18" s="159"/>
      <c r="C18" s="159"/>
      <c r="D18" s="159"/>
      <c r="E18" s="159"/>
      <c r="F18" s="159"/>
      <c r="G18" s="159"/>
      <c r="H18" s="161"/>
    </row>
    <row r="19" spans="1:8" ht="25.65" customHeight="1">
      <c r="A19" s="37" t="s">
        <v>773</v>
      </c>
      <c r="B19" s="39" t="s">
        <v>919</v>
      </c>
      <c r="C19" s="39" t="s">
        <v>775</v>
      </c>
      <c r="D19" s="39" t="s">
        <v>920</v>
      </c>
      <c r="E19" s="39" t="s">
        <v>4</v>
      </c>
      <c r="F19" s="39" t="s">
        <v>921</v>
      </c>
      <c r="G19" s="39" t="s">
        <v>922</v>
      </c>
      <c r="H19" s="53" t="s">
        <v>923</v>
      </c>
    </row>
    <row r="20" spans="1:8" ht="33.6" customHeight="1">
      <c r="A20" s="46" t="s">
        <v>924</v>
      </c>
      <c r="B20" s="47" t="s">
        <v>925</v>
      </c>
      <c r="C20" s="54"/>
      <c r="D20" s="47" t="s">
        <v>926</v>
      </c>
      <c r="E20" s="70" t="str">
        <f>IF(C20="","",IF(C20&lt;=20,10,IF(C20&lt;=50,25,IF(C20&lt;=100,45,IF(C20&lt;=250,65,IF(C20&lt;=500,85,100))))))</f>
        <v/>
      </c>
      <c r="F20" s="71">
        <v>0.3</v>
      </c>
      <c r="G20" s="72" t="str">
        <f>IF(E20="","",E20*F20)</f>
        <v/>
      </c>
      <c r="H20" s="49" t="s">
        <v>927</v>
      </c>
    </row>
    <row r="21" spans="1:8" ht="33.6" customHeight="1">
      <c r="A21" s="46" t="s">
        <v>928</v>
      </c>
      <c r="B21" s="47" t="s">
        <v>929</v>
      </c>
      <c r="C21" s="54"/>
      <c r="D21" s="47" t="s">
        <v>930</v>
      </c>
      <c r="E21" s="70" t="str">
        <f>IF(C21="","",IF(C21&lt;=1,10,IF(C21&lt;=3,25,IF(C21&lt;=10,50,IF(C21&lt;=25,75,100)))))</f>
        <v/>
      </c>
      <c r="F21" s="71">
        <v>0.2</v>
      </c>
      <c r="G21" s="72" t="str">
        <f>IF(E21="","",E21*F21)</f>
        <v/>
      </c>
      <c r="H21" s="49" t="s">
        <v>931</v>
      </c>
    </row>
    <row r="22" spans="1:8" ht="33.6" customHeight="1">
      <c r="A22" s="46" t="s">
        <v>932</v>
      </c>
      <c r="B22" s="47" t="s">
        <v>933</v>
      </c>
      <c r="C22" s="54"/>
      <c r="D22" s="47" t="s">
        <v>934</v>
      </c>
      <c r="E22" s="70" t="str">
        <f>IF(C22="","",IF(C22&lt;=3,10,IF(C22&lt;=5,25,IF(C22&lt;=8,50,IF(C22&lt;=12,75,100)))))</f>
        <v/>
      </c>
      <c r="F22" s="71">
        <v>0.25</v>
      </c>
      <c r="G22" s="72" t="str">
        <f>IF(E22="","",E22*F22)</f>
        <v/>
      </c>
      <c r="H22" s="49" t="s">
        <v>935</v>
      </c>
    </row>
    <row r="23" spans="1:8" ht="33.6" customHeight="1">
      <c r="A23" s="46" t="s">
        <v>936</v>
      </c>
      <c r="B23" s="47" t="s">
        <v>937</v>
      </c>
      <c r="C23" s="54"/>
      <c r="D23" s="47" t="s">
        <v>938</v>
      </c>
      <c r="E23" s="70" t="str">
        <f>IF(C23="","",IF(C23&lt;=5,10,IF(C23&lt;=10,30,IF(C23&lt;=20,55,IF(C23&lt;=35,80,100)))))</f>
        <v/>
      </c>
      <c r="F23" s="71">
        <v>0.35</v>
      </c>
      <c r="G23" s="72" t="str">
        <f>IF(E23="","",E23*F23)</f>
        <v/>
      </c>
      <c r="H23" s="49" t="s">
        <v>939</v>
      </c>
    </row>
    <row r="24" spans="1:8" ht="33.6" customHeight="1">
      <c r="A24" s="46" t="s">
        <v>940</v>
      </c>
      <c r="B24" s="47" t="s">
        <v>941</v>
      </c>
      <c r="C24" s="54"/>
      <c r="D24" s="47" t="s">
        <v>942</v>
      </c>
      <c r="E24" s="70" t="str">
        <f>IF(C24="","",IF(C24="Completa y actualizada",0,IF(C24="Parcialmente documentados",40,IF(C24="Documentación informal",70,IF(C24="No documentados",100,80)))))</f>
        <v/>
      </c>
      <c r="F24" s="71">
        <v>0.2</v>
      </c>
      <c r="G24" s="72" t="str">
        <f>IF(E24="","",E24*F24)</f>
        <v/>
      </c>
      <c r="H24" s="49" t="s">
        <v>943</v>
      </c>
    </row>
    <row r="25" spans="1:8" ht="33.6" customHeight="1">
      <c r="A25" s="46" t="s">
        <v>944</v>
      </c>
      <c r="B25" s="47" t="s">
        <v>945</v>
      </c>
      <c r="C25" s="54"/>
      <c r="D25" s="47" t="s">
        <v>946</v>
      </c>
      <c r="E25" s="73"/>
      <c r="F25" s="73"/>
      <c r="G25" s="73"/>
      <c r="H25" s="49" t="s">
        <v>947</v>
      </c>
    </row>
    <row r="26" spans="1:8" ht="33.6" customHeight="1">
      <c r="A26" s="46" t="s">
        <v>948</v>
      </c>
      <c r="B26" s="47" t="s">
        <v>949</v>
      </c>
      <c r="C26" s="54"/>
      <c r="D26" s="47" t="s">
        <v>946</v>
      </c>
      <c r="E26" s="73"/>
      <c r="F26" s="73"/>
      <c r="G26" s="73"/>
      <c r="H26" s="49" t="s">
        <v>950</v>
      </c>
    </row>
    <row r="27" spans="1:8" ht="33.6" customHeight="1">
      <c r="A27" s="46" t="s">
        <v>951</v>
      </c>
      <c r="B27" s="47" t="s">
        <v>952</v>
      </c>
      <c r="C27" s="54"/>
      <c r="D27" s="47" t="s">
        <v>946</v>
      </c>
      <c r="E27" s="73"/>
      <c r="F27" s="73"/>
      <c r="G27" s="73"/>
      <c r="H27" s="49" t="s">
        <v>953</v>
      </c>
    </row>
    <row r="28" spans="1:8" ht="33.6" customHeight="1">
      <c r="A28" s="46" t="s">
        <v>954</v>
      </c>
      <c r="B28" s="47" t="s">
        <v>955</v>
      </c>
      <c r="C28" s="54"/>
      <c r="D28" s="47" t="s">
        <v>946</v>
      </c>
      <c r="E28" s="73"/>
      <c r="F28" s="73"/>
      <c r="G28" s="73"/>
      <c r="H28" s="49" t="s">
        <v>956</v>
      </c>
    </row>
    <row r="29" spans="1:8" ht="33.6" customHeight="1">
      <c r="A29" s="46" t="s">
        <v>957</v>
      </c>
      <c r="B29" s="47" t="s">
        <v>958</v>
      </c>
      <c r="C29" s="54"/>
      <c r="D29" s="47" t="s">
        <v>946</v>
      </c>
      <c r="E29" s="73"/>
      <c r="F29" s="73"/>
      <c r="G29" s="73"/>
      <c r="H29" s="49" t="s">
        <v>959</v>
      </c>
    </row>
    <row r="30" spans="1:8" ht="33.6" customHeight="1">
      <c r="A30" s="46" t="s">
        <v>960</v>
      </c>
      <c r="B30" s="47" t="s">
        <v>961</v>
      </c>
      <c r="C30" s="54"/>
      <c r="D30" s="47" t="s">
        <v>946</v>
      </c>
      <c r="E30" s="73"/>
      <c r="F30" s="73"/>
      <c r="G30" s="73"/>
      <c r="H30" s="49" t="s">
        <v>962</v>
      </c>
    </row>
    <row r="31" spans="1:8" ht="33.6" customHeight="1">
      <c r="A31" s="46" t="s">
        <v>963</v>
      </c>
      <c r="B31" s="47" t="s">
        <v>964</v>
      </c>
      <c r="C31" s="56" t="str">
        <f>IF(COUNT(C25:C30)=0,"",SUM(C25:C30))</f>
        <v/>
      </c>
      <c r="D31" s="47" t="s">
        <v>946</v>
      </c>
      <c r="E31" s="70" t="str">
        <f>IF(COUNT(C25:C30)=0,"",IF(C31&lt;=1000,10,IF(C31&lt;=5000,25,IF(C31&lt;=25000,45,IF(C31&lt;=100000,65,IF(C31&lt;=500000,85,100))))))</f>
        <v/>
      </c>
      <c r="F31" s="71">
        <v>0.7</v>
      </c>
      <c r="G31" s="72" t="str">
        <f>IF(E31="","",E31*F31)</f>
        <v/>
      </c>
      <c r="H31" s="49" t="s">
        <v>965</v>
      </c>
    </row>
    <row r="32" spans="1:8" ht="33.6" customHeight="1">
      <c r="A32" s="42"/>
      <c r="B32" s="43"/>
      <c r="C32" s="57"/>
      <c r="D32" s="43"/>
      <c r="E32" s="58"/>
      <c r="F32" s="58"/>
      <c r="G32" s="58"/>
      <c r="H32" s="44"/>
    </row>
    <row r="33" spans="1:8" ht="33.6" customHeight="1">
      <c r="A33" s="158" t="s">
        <v>966</v>
      </c>
      <c r="B33" s="159"/>
      <c r="C33" s="159"/>
      <c r="D33" s="159"/>
      <c r="E33" s="160"/>
      <c r="F33" s="160"/>
      <c r="G33" s="160"/>
      <c r="H33" s="161"/>
    </row>
    <row r="34" spans="1:8" ht="33.6" customHeight="1">
      <c r="A34" s="37" t="s">
        <v>773</v>
      </c>
      <c r="B34" s="39" t="s">
        <v>919</v>
      </c>
      <c r="C34" s="59" t="s">
        <v>775</v>
      </c>
      <c r="D34" s="39" t="s">
        <v>920</v>
      </c>
      <c r="E34" s="39" t="s">
        <v>4</v>
      </c>
      <c r="F34" s="39" t="s">
        <v>921</v>
      </c>
      <c r="G34" s="39" t="s">
        <v>922</v>
      </c>
      <c r="H34" s="53" t="s">
        <v>923</v>
      </c>
    </row>
    <row r="35" spans="1:8" ht="33.6" customHeight="1">
      <c r="A35" s="46" t="s">
        <v>967</v>
      </c>
      <c r="B35" s="47" t="s">
        <v>968</v>
      </c>
      <c r="C35" s="60"/>
      <c r="D35" s="47" t="s">
        <v>969</v>
      </c>
      <c r="E35" s="72" t="str">
        <f t="shared" ref="E35:E42" si="0">IF(C35="","",IF(C35="Sí",100,IF(C35="No",0,60)))</f>
        <v/>
      </c>
      <c r="F35" s="72">
        <v>0.2</v>
      </c>
      <c r="G35" s="72" t="str">
        <f t="shared" ref="G35:G42" si="1">IF(E35="","",E35*F35)</f>
        <v/>
      </c>
      <c r="H35" s="49" t="s">
        <v>970</v>
      </c>
    </row>
    <row r="36" spans="1:8" ht="33.6" customHeight="1">
      <c r="A36" s="46" t="s">
        <v>971</v>
      </c>
      <c r="B36" s="47" t="s">
        <v>972</v>
      </c>
      <c r="C36" s="60"/>
      <c r="D36" s="47" t="s">
        <v>969</v>
      </c>
      <c r="E36" s="72" t="str">
        <f t="shared" si="0"/>
        <v/>
      </c>
      <c r="F36" s="72">
        <v>0.15</v>
      </c>
      <c r="G36" s="72" t="str">
        <f t="shared" si="1"/>
        <v/>
      </c>
      <c r="H36" s="49" t="s">
        <v>973</v>
      </c>
    </row>
    <row r="37" spans="1:8" ht="33.6" customHeight="1">
      <c r="A37" s="46" t="s">
        <v>843</v>
      </c>
      <c r="B37" s="47" t="s">
        <v>974</v>
      </c>
      <c r="C37" s="60"/>
      <c r="D37" s="47" t="s">
        <v>969</v>
      </c>
      <c r="E37" s="72" t="str">
        <f t="shared" si="0"/>
        <v/>
      </c>
      <c r="F37" s="72">
        <v>0.15</v>
      </c>
      <c r="G37" s="72" t="str">
        <f t="shared" si="1"/>
        <v/>
      </c>
      <c r="H37" s="49" t="s">
        <v>975</v>
      </c>
    </row>
    <row r="38" spans="1:8" ht="33.6" customHeight="1">
      <c r="A38" s="46" t="s">
        <v>976</v>
      </c>
      <c r="B38" s="47" t="s">
        <v>977</v>
      </c>
      <c r="C38" s="60"/>
      <c r="D38" s="47" t="s">
        <v>969</v>
      </c>
      <c r="E38" s="72" t="str">
        <f t="shared" si="0"/>
        <v/>
      </c>
      <c r="F38" s="72">
        <v>0.1</v>
      </c>
      <c r="G38" s="72" t="str">
        <f t="shared" si="1"/>
        <v/>
      </c>
      <c r="H38" s="49" t="s">
        <v>978</v>
      </c>
    </row>
    <row r="39" spans="1:8" ht="33.6" customHeight="1">
      <c r="A39" s="46" t="s">
        <v>855</v>
      </c>
      <c r="B39" s="47" t="s">
        <v>979</v>
      </c>
      <c r="C39" s="60"/>
      <c r="D39" s="47" t="s">
        <v>969</v>
      </c>
      <c r="E39" s="72" t="str">
        <f t="shared" si="0"/>
        <v/>
      </c>
      <c r="F39" s="72">
        <v>0.05</v>
      </c>
      <c r="G39" s="72" t="str">
        <f t="shared" si="1"/>
        <v/>
      </c>
      <c r="H39" s="49" t="s">
        <v>980</v>
      </c>
    </row>
    <row r="40" spans="1:8" ht="33.6" customHeight="1">
      <c r="A40" s="46" t="s">
        <v>981</v>
      </c>
      <c r="B40" s="47" t="s">
        <v>982</v>
      </c>
      <c r="C40" s="60"/>
      <c r="D40" s="47" t="s">
        <v>969</v>
      </c>
      <c r="E40" s="72" t="str">
        <f t="shared" si="0"/>
        <v/>
      </c>
      <c r="F40" s="72">
        <v>0.15</v>
      </c>
      <c r="G40" s="72" t="str">
        <f t="shared" si="1"/>
        <v/>
      </c>
      <c r="H40" s="49" t="s">
        <v>983</v>
      </c>
    </row>
    <row r="41" spans="1:8" ht="33.6" customHeight="1">
      <c r="A41" s="46" t="s">
        <v>984</v>
      </c>
      <c r="B41" s="47" t="s">
        <v>985</v>
      </c>
      <c r="C41" s="60"/>
      <c r="D41" s="47" t="s">
        <v>969</v>
      </c>
      <c r="E41" s="72" t="str">
        <f t="shared" si="0"/>
        <v/>
      </c>
      <c r="F41" s="72">
        <v>0.1</v>
      </c>
      <c r="G41" s="72" t="str">
        <f t="shared" si="1"/>
        <v/>
      </c>
      <c r="H41" s="49" t="s">
        <v>986</v>
      </c>
    </row>
    <row r="42" spans="1:8" ht="33.6" customHeight="1">
      <c r="A42" s="46" t="s">
        <v>987</v>
      </c>
      <c r="B42" s="47" t="s">
        <v>988</v>
      </c>
      <c r="C42" s="60"/>
      <c r="D42" s="47" t="s">
        <v>969</v>
      </c>
      <c r="E42" s="72" t="str">
        <f t="shared" si="0"/>
        <v/>
      </c>
      <c r="F42" s="72">
        <v>0.1</v>
      </c>
      <c r="G42" s="72" t="str">
        <f t="shared" si="1"/>
        <v/>
      </c>
      <c r="H42" s="49" t="s">
        <v>989</v>
      </c>
    </row>
    <row r="43" spans="1:8" ht="33.6" customHeight="1">
      <c r="A43" s="46" t="s">
        <v>990</v>
      </c>
      <c r="B43" s="47" t="s">
        <v>991</v>
      </c>
      <c r="C43" s="60"/>
      <c r="D43" s="47" t="s">
        <v>992</v>
      </c>
      <c r="E43" s="55"/>
      <c r="F43" s="55"/>
      <c r="G43" s="55"/>
      <c r="H43" s="49" t="s">
        <v>993</v>
      </c>
    </row>
    <row r="44" spans="1:8" ht="33.6" customHeight="1">
      <c r="A44" s="158" t="s">
        <v>994</v>
      </c>
      <c r="B44" s="159"/>
      <c r="C44" s="159"/>
      <c r="D44" s="159"/>
      <c r="E44" s="160"/>
      <c r="F44" s="160"/>
      <c r="G44" s="160"/>
      <c r="H44" s="161"/>
    </row>
    <row r="45" spans="1:8" ht="33.6" customHeight="1">
      <c r="A45" s="37" t="s">
        <v>773</v>
      </c>
      <c r="B45" s="39" t="s">
        <v>919</v>
      </c>
      <c r="C45" s="59" t="s">
        <v>775</v>
      </c>
      <c r="D45" s="39" t="s">
        <v>920</v>
      </c>
      <c r="E45" s="39" t="s">
        <v>4</v>
      </c>
      <c r="F45" s="39" t="s">
        <v>921</v>
      </c>
      <c r="G45" s="39" t="s">
        <v>922</v>
      </c>
      <c r="H45" s="53" t="s">
        <v>923</v>
      </c>
    </row>
    <row r="46" spans="1:8" ht="33.6" customHeight="1">
      <c r="A46" s="46" t="s">
        <v>995</v>
      </c>
      <c r="B46" s="47" t="s">
        <v>996</v>
      </c>
      <c r="C46" s="60"/>
      <c r="D46" s="47" t="s">
        <v>997</v>
      </c>
      <c r="E46" s="72" t="str">
        <f>IF(C46="","",IF(C46&lt;=3,10,IF(C46&lt;=6,30,IF(C46&lt;=10,55,IF(C46&lt;=20,80,100)))))</f>
        <v/>
      </c>
      <c r="F46" s="72">
        <v>0.3</v>
      </c>
      <c r="G46" s="72" t="str">
        <f t="shared" ref="G46:G51" si="2">IF(E46="","",E46*F46)</f>
        <v/>
      </c>
      <c r="H46" s="49" t="s">
        <v>998</v>
      </c>
    </row>
    <row r="47" spans="1:8" ht="33.6" customHeight="1">
      <c r="A47" s="46" t="s">
        <v>867</v>
      </c>
      <c r="B47" s="47" t="s">
        <v>999</v>
      </c>
      <c r="C47" s="60"/>
      <c r="D47" s="47" t="s">
        <v>1000</v>
      </c>
      <c r="E47" s="72" t="str">
        <f>IF(C47="","",IF(C47&lt;=5,10,IF(C47&lt;=10,30,IF(C47&lt;=20,55,IF(C47&lt;=50,80,100)))))</f>
        <v/>
      </c>
      <c r="F47" s="72">
        <v>0.25</v>
      </c>
      <c r="G47" s="72" t="str">
        <f t="shared" si="2"/>
        <v/>
      </c>
      <c r="H47" s="49" t="s">
        <v>1001</v>
      </c>
    </row>
    <row r="48" spans="1:8" ht="33.6" customHeight="1">
      <c r="A48" s="46" t="s">
        <v>1002</v>
      </c>
      <c r="B48" s="47" t="s">
        <v>1003</v>
      </c>
      <c r="C48" s="60"/>
      <c r="D48" s="47" t="s">
        <v>1004</v>
      </c>
      <c r="E48" s="72" t="str">
        <f>IF(C48="","",IF(C48&lt;=2,10,IF(C48&lt;=4,30,IF(C48&lt;=6,55,IF(C48&lt;=9,80,100)))))</f>
        <v/>
      </c>
      <c r="F48" s="72">
        <v>0.15</v>
      </c>
      <c r="G48" s="72" t="str">
        <f t="shared" si="2"/>
        <v/>
      </c>
      <c r="H48" s="49" t="s">
        <v>1005</v>
      </c>
    </row>
    <row r="49" spans="1:8" ht="33.6" customHeight="1">
      <c r="A49" s="46" t="s">
        <v>1006</v>
      </c>
      <c r="B49" s="47" t="s">
        <v>1007</v>
      </c>
      <c r="C49" s="60"/>
      <c r="D49" s="47" t="s">
        <v>969</v>
      </c>
      <c r="E49" s="72" t="str">
        <f>IF(C49="","",IF(C49="Sí",100,IF(C49="No",0,60)))</f>
        <v/>
      </c>
      <c r="F49" s="72">
        <v>0.15</v>
      </c>
      <c r="G49" s="72" t="str">
        <f t="shared" si="2"/>
        <v/>
      </c>
      <c r="H49" s="49" t="s">
        <v>1008</v>
      </c>
    </row>
    <row r="50" spans="1:8" ht="33.6" customHeight="1">
      <c r="A50" s="46" t="s">
        <v>1009</v>
      </c>
      <c r="B50" s="47" t="s">
        <v>1010</v>
      </c>
      <c r="C50" s="60"/>
      <c r="D50" s="47" t="s">
        <v>942</v>
      </c>
      <c r="E50" s="72" t="str">
        <f>IF(C50="","",IF(C50="Centralizada",0,IF(C50="Mixta",50,IF(C50="Descentralizada",100,75))))</f>
        <v/>
      </c>
      <c r="F50" s="72">
        <v>0.1</v>
      </c>
      <c r="G50" s="72" t="str">
        <f t="shared" si="2"/>
        <v/>
      </c>
      <c r="H50" s="49" t="s">
        <v>1011</v>
      </c>
    </row>
    <row r="51" spans="1:8" ht="33.6" customHeight="1">
      <c r="A51" s="46" t="s">
        <v>871</v>
      </c>
      <c r="B51" s="47" t="s">
        <v>1012</v>
      </c>
      <c r="C51" s="60"/>
      <c r="D51" s="47" t="s">
        <v>969</v>
      </c>
      <c r="E51" s="72" t="str">
        <f>IF(C51="","",IF(C51="Sí",100,IF(C51="No",0,60)))</f>
        <v/>
      </c>
      <c r="F51" s="72">
        <v>0.05</v>
      </c>
      <c r="G51" s="72" t="str">
        <f t="shared" si="2"/>
        <v/>
      </c>
      <c r="H51" s="49" t="s">
        <v>1013</v>
      </c>
    </row>
    <row r="52" spans="1:8" ht="33.6" customHeight="1">
      <c r="A52" s="42"/>
      <c r="B52" s="43"/>
      <c r="C52" s="57"/>
      <c r="D52" s="43"/>
      <c r="E52" s="58"/>
      <c r="F52" s="58"/>
      <c r="G52" s="58"/>
      <c r="H52" s="44"/>
    </row>
    <row r="53" spans="1:8" ht="33.6" customHeight="1">
      <c r="A53" s="158" t="s">
        <v>1014</v>
      </c>
      <c r="B53" s="159"/>
      <c r="C53" s="159"/>
      <c r="D53" s="159"/>
      <c r="E53" s="160"/>
      <c r="F53" s="160"/>
      <c r="G53" s="160"/>
      <c r="H53" s="161"/>
    </row>
    <row r="54" spans="1:8" ht="33.6" customHeight="1">
      <c r="A54" s="37" t="s">
        <v>773</v>
      </c>
      <c r="B54" s="39" t="s">
        <v>919</v>
      </c>
      <c r="C54" s="59" t="s">
        <v>775</v>
      </c>
      <c r="D54" s="39" t="s">
        <v>920</v>
      </c>
      <c r="E54" s="39" t="s">
        <v>4</v>
      </c>
      <c r="F54" s="39" t="s">
        <v>921</v>
      </c>
      <c r="G54" s="39" t="s">
        <v>922</v>
      </c>
      <c r="H54" s="53" t="s">
        <v>923</v>
      </c>
    </row>
    <row r="55" spans="1:8" ht="33.6" customHeight="1">
      <c r="A55" s="46" t="s">
        <v>579</v>
      </c>
      <c r="B55" s="47" t="s">
        <v>1015</v>
      </c>
      <c r="C55" s="60"/>
      <c r="D55" s="47" t="s">
        <v>1016</v>
      </c>
      <c r="E55" s="72" t="str">
        <f t="shared" ref="E55:E61" si="3">IF(C55="","",IF(C55="Sí",0,IF(C55="Parcial",50,IF(C55="No",100,75))))</f>
        <v/>
      </c>
      <c r="F55" s="72">
        <v>0.14285714285714285</v>
      </c>
      <c r="G55" s="72" t="str">
        <f t="shared" ref="G55:G61" si="4">IF(E55="","",E55*F55)</f>
        <v/>
      </c>
      <c r="H55" s="49" t="s">
        <v>1017</v>
      </c>
    </row>
    <row r="56" spans="1:8" ht="33.6" customHeight="1">
      <c r="A56" s="46" t="s">
        <v>1018</v>
      </c>
      <c r="B56" s="47" t="s">
        <v>1019</v>
      </c>
      <c r="C56" s="60"/>
      <c r="D56" s="47" t="s">
        <v>1016</v>
      </c>
      <c r="E56" s="72" t="str">
        <f t="shared" si="3"/>
        <v/>
      </c>
      <c r="F56" s="72">
        <v>0.14285714285714285</v>
      </c>
      <c r="G56" s="72" t="str">
        <f t="shared" si="4"/>
        <v/>
      </c>
      <c r="H56" s="49" t="s">
        <v>1020</v>
      </c>
    </row>
    <row r="57" spans="1:8" ht="33.6" customHeight="1">
      <c r="A57" s="46" t="s">
        <v>1021</v>
      </c>
      <c r="B57" s="47" t="s">
        <v>1022</v>
      </c>
      <c r="C57" s="60"/>
      <c r="D57" s="47" t="s">
        <v>1016</v>
      </c>
      <c r="E57" s="72" t="str">
        <f t="shared" si="3"/>
        <v/>
      </c>
      <c r="F57" s="72">
        <v>0.14285714285714285</v>
      </c>
      <c r="G57" s="72" t="str">
        <f t="shared" si="4"/>
        <v/>
      </c>
      <c r="H57" s="49" t="s">
        <v>1023</v>
      </c>
    </row>
    <row r="58" spans="1:8" ht="33.6" customHeight="1">
      <c r="A58" s="46" t="s">
        <v>1024</v>
      </c>
      <c r="B58" s="47" t="s">
        <v>1025</v>
      </c>
      <c r="C58" s="60"/>
      <c r="D58" s="47" t="s">
        <v>1016</v>
      </c>
      <c r="E58" s="72" t="str">
        <f t="shared" si="3"/>
        <v/>
      </c>
      <c r="F58" s="72">
        <v>0.14285714285714285</v>
      </c>
      <c r="G58" s="72" t="str">
        <f t="shared" si="4"/>
        <v/>
      </c>
      <c r="H58" s="49" t="s">
        <v>1026</v>
      </c>
    </row>
    <row r="59" spans="1:8" ht="33.6" customHeight="1">
      <c r="A59" s="46" t="s">
        <v>1027</v>
      </c>
      <c r="B59" s="47" t="s">
        <v>1028</v>
      </c>
      <c r="C59" s="60"/>
      <c r="D59" s="47" t="s">
        <v>1016</v>
      </c>
      <c r="E59" s="72" t="str">
        <f t="shared" si="3"/>
        <v/>
      </c>
      <c r="F59" s="72">
        <v>0.14285714285714285</v>
      </c>
      <c r="G59" s="72" t="str">
        <f t="shared" si="4"/>
        <v/>
      </c>
      <c r="H59" s="49" t="s">
        <v>1029</v>
      </c>
    </row>
    <row r="60" spans="1:8" ht="33.6" customHeight="1">
      <c r="A60" s="46" t="s">
        <v>1030</v>
      </c>
      <c r="B60" s="47" t="s">
        <v>1031</v>
      </c>
      <c r="C60" s="60"/>
      <c r="D60" s="47" t="s">
        <v>1016</v>
      </c>
      <c r="E60" s="72" t="str">
        <f t="shared" si="3"/>
        <v/>
      </c>
      <c r="F60" s="72">
        <v>0.14285714285714285</v>
      </c>
      <c r="G60" s="72" t="str">
        <f t="shared" si="4"/>
        <v/>
      </c>
      <c r="H60" s="49" t="s">
        <v>1032</v>
      </c>
    </row>
    <row r="61" spans="1:8" ht="33.6" customHeight="1">
      <c r="A61" s="46" t="s">
        <v>1033</v>
      </c>
      <c r="B61" s="47" t="s">
        <v>1034</v>
      </c>
      <c r="C61" s="60"/>
      <c r="D61" s="47" t="s">
        <v>1016</v>
      </c>
      <c r="E61" s="72" t="str">
        <f t="shared" si="3"/>
        <v/>
      </c>
      <c r="F61" s="72">
        <v>0.14285714285714285</v>
      </c>
      <c r="G61" s="72" t="str">
        <f t="shared" si="4"/>
        <v/>
      </c>
      <c r="H61" s="49" t="s">
        <v>1035</v>
      </c>
    </row>
    <row r="62" spans="1:8">
      <c r="A62" s="42"/>
      <c r="B62" s="43"/>
      <c r="C62" s="43"/>
      <c r="D62" s="43"/>
      <c r="E62" s="43"/>
      <c r="F62" s="43"/>
      <c r="G62" s="43"/>
      <c r="H62" s="44"/>
    </row>
    <row r="63" spans="1:8">
      <c r="A63" s="158" t="s">
        <v>1036</v>
      </c>
      <c r="B63" s="159"/>
      <c r="C63" s="159"/>
      <c r="D63" s="159"/>
      <c r="E63" s="159"/>
      <c r="F63" s="159"/>
      <c r="G63" s="159"/>
      <c r="H63" s="161"/>
    </row>
    <row r="64" spans="1:8">
      <c r="A64" s="37" t="s">
        <v>2</v>
      </c>
      <c r="B64" s="39" t="s">
        <v>1037</v>
      </c>
      <c r="C64" s="39" t="s">
        <v>1038</v>
      </c>
      <c r="D64" s="39" t="s">
        <v>1039</v>
      </c>
      <c r="E64" s="162" t="s">
        <v>1040</v>
      </c>
      <c r="F64" s="162"/>
      <c r="G64" s="162"/>
      <c r="H64" s="163"/>
    </row>
    <row r="65" spans="1:8" ht="27.15" customHeight="1">
      <c r="A65" s="46" t="s">
        <v>1041</v>
      </c>
      <c r="B65" s="61" t="str">
        <f>IF(OR(B4&lt;0.6,COUNT(C25:C30)=0),"",E20*30%+E31*70%)</f>
        <v/>
      </c>
      <c r="C65" s="62">
        <v>0.2</v>
      </c>
      <c r="D65" s="61" t="str">
        <f>IF(B65="","",B65*C65)</f>
        <v/>
      </c>
      <c r="E65" s="63" t="s">
        <v>1042</v>
      </c>
      <c r="F65" s="47" t="s">
        <v>486</v>
      </c>
      <c r="G65" s="47" t="s">
        <v>1043</v>
      </c>
      <c r="H65" s="49" t="s">
        <v>1044</v>
      </c>
    </row>
    <row r="66" spans="1:8" ht="27.15" customHeight="1">
      <c r="A66" s="46" t="s">
        <v>1045</v>
      </c>
      <c r="B66" s="61" t="str">
        <f>IF(OR(B4&lt;0.6,COUNT(C25:C30)=0),"",E21*20%+E22*25%+E23*35%+E24*20%)</f>
        <v/>
      </c>
      <c r="C66" s="62">
        <v>0.25</v>
      </c>
      <c r="D66" s="61" t="str">
        <f>IF(B66="","",B66*C66)</f>
        <v/>
      </c>
      <c r="E66" s="63" t="s">
        <v>1046</v>
      </c>
      <c r="F66" s="47" t="s">
        <v>485</v>
      </c>
      <c r="G66" s="47" t="s">
        <v>1047</v>
      </c>
      <c r="H66" s="49" t="s">
        <v>1048</v>
      </c>
    </row>
    <row r="67" spans="1:8" ht="27.15" customHeight="1">
      <c r="A67" s="46" t="s">
        <v>1049</v>
      </c>
      <c r="B67" s="61" t="str">
        <f>IF(OR(B4&lt;0.6,COUNT(C25:C30)=0),"",SUM(G35:G42))</f>
        <v/>
      </c>
      <c r="C67" s="62">
        <v>0.25</v>
      </c>
      <c r="D67" s="61" t="str">
        <f>IF(B67="","",B67*C67)</f>
        <v/>
      </c>
      <c r="E67" s="63" t="s">
        <v>1050</v>
      </c>
      <c r="F67" s="47" t="s">
        <v>484</v>
      </c>
      <c r="G67" s="47" t="s">
        <v>1051</v>
      </c>
      <c r="H67" s="49" t="s">
        <v>1052</v>
      </c>
    </row>
    <row r="68" spans="1:8" ht="27.15" customHeight="1">
      <c r="A68" s="46" t="s">
        <v>1053</v>
      </c>
      <c r="B68" s="61" t="str">
        <f>IF(OR(B4&lt;0.6,COUNT(C25:C30)=0),"",SUM(G46:G51))</f>
        <v/>
      </c>
      <c r="C68" s="62">
        <v>0.15</v>
      </c>
      <c r="D68" s="61" t="str">
        <f>IF(B68="","",B68*C68)</f>
        <v/>
      </c>
      <c r="E68" s="63" t="s">
        <v>1054</v>
      </c>
      <c r="F68" s="47" t="s">
        <v>1055</v>
      </c>
      <c r="G68" s="47" t="s">
        <v>1056</v>
      </c>
      <c r="H68" s="49" t="s">
        <v>1057</v>
      </c>
    </row>
    <row r="69" spans="1:8" ht="27.15" customHeight="1">
      <c r="A69" s="46" t="s">
        <v>1058</v>
      </c>
      <c r="B69" s="61" t="str">
        <f>IF(OR(B4&lt;0.6,COUNT(C25:C30)=0),"",SUM(G55:G61))</f>
        <v/>
      </c>
      <c r="C69" s="62">
        <v>0.15</v>
      </c>
      <c r="D69" s="61" t="str">
        <f>IF(B69="","",B69*C69)</f>
        <v/>
      </c>
      <c r="E69" s="63" t="s">
        <v>1059</v>
      </c>
      <c r="F69" s="47" t="s">
        <v>1060</v>
      </c>
      <c r="G69" s="47" t="s">
        <v>1061</v>
      </c>
      <c r="H69" s="49" t="s">
        <v>1062</v>
      </c>
    </row>
    <row r="70" spans="1:8" ht="27.15" customHeight="1">
      <c r="A70" s="64" t="s">
        <v>1063</v>
      </c>
      <c r="B70" s="65" t="str">
        <f>IF(OR(B4&lt;0.6,COUNT(C25:C30)=0),"",SUM(D65:D69))</f>
        <v/>
      </c>
      <c r="C70" s="66">
        <v>1</v>
      </c>
      <c r="D70" s="65" t="str">
        <f>IF(B70="","",B70)</f>
        <v/>
      </c>
      <c r="E70" s="67" t="s">
        <v>1064</v>
      </c>
      <c r="F70" s="68" t="s">
        <v>1065</v>
      </c>
      <c r="G70" s="68" t="s">
        <v>1066</v>
      </c>
      <c r="H70" s="69" t="s">
        <v>1067</v>
      </c>
    </row>
    <row r="72" spans="1:8" ht="36" customHeight="1">
      <c r="A72" s="157" t="s">
        <v>1068</v>
      </c>
      <c r="B72" s="157"/>
      <c r="C72" s="157"/>
      <c r="D72" s="157"/>
      <c r="E72" s="157"/>
      <c r="F72" s="157"/>
      <c r="G72" s="157"/>
      <c r="H72" s="157"/>
    </row>
  </sheetData>
  <mergeCells count="12">
    <mergeCell ref="A1:H1"/>
    <mergeCell ref="A2:H2"/>
    <mergeCell ref="B7:H7"/>
    <mergeCell ref="A9:H9"/>
    <mergeCell ref="A18:H18"/>
    <mergeCell ref="B8:H8"/>
    <mergeCell ref="A72:H72"/>
    <mergeCell ref="A33:H33"/>
    <mergeCell ref="A44:H44"/>
    <mergeCell ref="A53:H53"/>
    <mergeCell ref="A63:H63"/>
    <mergeCell ref="E64:H64"/>
  </mergeCells>
  <conditionalFormatting sqref="D4">
    <cfRule type="colorScale" priority="1">
      <colorScale>
        <cfvo type="min"/>
        <cfvo type="percentile" val="50"/>
        <cfvo type="max"/>
        <color rgb="FFDDEFE3"/>
        <color rgb="FFFFF0CC"/>
        <color rgb="FFF9DCDC"/>
      </colorScale>
    </cfRule>
  </conditionalFormatting>
  <conditionalFormatting sqref="B70">
    <cfRule type="colorScale" priority="2">
      <colorScale>
        <cfvo type="min"/>
        <cfvo type="percentile" val="50"/>
        <cfvo type="max"/>
        <color rgb="FFDDEFE3"/>
        <color rgb="FFFFF0CC"/>
        <color rgb="FFF9DCDC"/>
      </colorScale>
    </cfRule>
  </conditionalFormatting>
  <dataValidations count="9">
    <dataValidation type="list" sqref="C24">
      <formula1>"Completa y actualizada,Parcialmente documentados,Documentación informal,No documentados,No sabe"</formula1>
    </dataValidation>
    <dataValidation type="list" sqref="C35:C42">
      <formula1>"Sí,No,No sabe"</formula1>
    </dataValidation>
    <dataValidation type="list" sqref="C49">
      <formula1>"Sí,No,No sabe"</formula1>
    </dataValidation>
    <dataValidation type="list" sqref="C50">
      <formula1>"Centralizada,Mixta,Descentralizada,No sabe"</formula1>
    </dataValidation>
    <dataValidation type="list" sqref="C51">
      <formula1>"Sí,No,No sabe"</formula1>
    </dataValidation>
    <dataValidation type="list" sqref="C55:C61">
      <formula1>"Sí,Parcial,No,No sabe"</formula1>
    </dataValidation>
    <dataValidation sqref="C20:C23">
      <formula1>0</formula1>
    </dataValidation>
    <dataValidation sqref="C25:C30">
      <formula1>0</formula1>
    </dataValidation>
    <dataValidation sqref="C46:C48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0"/>
  <sheetViews>
    <sheetView topLeftCell="C13" workbookViewId="0">
      <selection activeCell="C146" sqref="C146"/>
    </sheetView>
  </sheetViews>
  <sheetFormatPr baseColWidth="10" defaultColWidth="8.796875" defaultRowHeight="13.8"/>
  <cols>
    <col min="1" max="1" width="24" customWidth="1"/>
    <col min="2" max="2" width="42" customWidth="1"/>
    <col min="3" max="3" width="20" customWidth="1"/>
    <col min="4" max="4" width="34" customWidth="1"/>
    <col min="5" max="5" width="18" customWidth="1"/>
    <col min="6" max="6" width="17" customWidth="1"/>
    <col min="7" max="7" width="20" customWidth="1"/>
    <col min="8" max="9" width="18" customWidth="1"/>
    <col min="10" max="10" width="22" customWidth="1"/>
    <col min="11" max="11" width="20" customWidth="1"/>
    <col min="12" max="12" width="40" customWidth="1"/>
  </cols>
  <sheetData>
    <row r="1" spans="1:22" ht="24" customHeight="1">
      <c r="A1" s="177" t="s">
        <v>1069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74"/>
      <c r="N1" s="119" t="s">
        <v>19</v>
      </c>
      <c r="O1" s="119" t="s">
        <v>1070</v>
      </c>
      <c r="P1" s="119" t="s">
        <v>4</v>
      </c>
      <c r="Q1" s="119" t="s">
        <v>1071</v>
      </c>
      <c r="R1" s="119" t="s">
        <v>1072</v>
      </c>
      <c r="S1" s="119" t="s">
        <v>1073</v>
      </c>
      <c r="T1" s="119" t="s">
        <v>1074</v>
      </c>
      <c r="U1" s="119" t="s">
        <v>1075</v>
      </c>
      <c r="V1" s="119" t="s">
        <v>1076</v>
      </c>
    </row>
    <row r="2" spans="1:22" ht="22.35" customHeight="1">
      <c r="A2" s="178" t="s">
        <v>1077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74"/>
      <c r="N2" s="118" t="s">
        <v>1078</v>
      </c>
      <c r="O2" s="118" t="str">
        <f t="shared" ref="O2:O7" si="0">IF(C17="","",C17)</f>
        <v>11–50</v>
      </c>
      <c r="P2" s="118">
        <f>IF(O2="","",IFERROR(VLOOKUP(N2&amp;"|"&amp;O2,'Parámetros SMARTCIDI'!$A$48:$D$163,4,FALSE),""))</f>
        <v>1</v>
      </c>
      <c r="Q2" s="118">
        <v>2</v>
      </c>
      <c r="R2" s="118">
        <f t="shared" ref="R2:R21" si="1">IF(P2="","",P2*Q2)</f>
        <v>2</v>
      </c>
      <c r="S2" s="118">
        <v>2</v>
      </c>
      <c r="T2" s="118">
        <f t="shared" ref="T2:T21" si="2">IF(P2="","",P2*S2)</f>
        <v>2</v>
      </c>
      <c r="U2" s="118">
        <v>3</v>
      </c>
      <c r="V2" s="118">
        <f t="shared" ref="V2:V21" si="3">IF(P2="","",P2*U2)</f>
        <v>3</v>
      </c>
    </row>
    <row r="3" spans="1:22" ht="14.4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4"/>
      <c r="N3" s="118" t="s">
        <v>1079</v>
      </c>
      <c r="O3" s="118" t="str">
        <f t="shared" si="0"/>
        <v>2–3</v>
      </c>
      <c r="P3" s="118">
        <f>IF(O3="","",IFERROR(VLOOKUP(N3&amp;"|"&amp;O3,'Parámetros SMARTCIDI'!$A$48:$D$163,4,FALSE),""))</f>
        <v>1</v>
      </c>
      <c r="Q3" s="118">
        <v>3</v>
      </c>
      <c r="R3" s="118">
        <f t="shared" si="1"/>
        <v>3</v>
      </c>
      <c r="S3" s="118">
        <v>3</v>
      </c>
      <c r="T3" s="118">
        <f t="shared" si="2"/>
        <v>3</v>
      </c>
      <c r="U3" s="118">
        <v>2</v>
      </c>
      <c r="V3" s="118">
        <f t="shared" si="3"/>
        <v>2</v>
      </c>
    </row>
    <row r="4" spans="1:22" ht="19.2" customHeight="1">
      <c r="A4" s="173" t="s">
        <v>1080</v>
      </c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74"/>
      <c r="N4" s="118" t="s">
        <v>1081</v>
      </c>
      <c r="O4" s="118" t="str">
        <f t="shared" si="0"/>
        <v>4–6</v>
      </c>
      <c r="P4" s="118">
        <f>IF(O4="","",IFERROR(VLOOKUP(N4&amp;"|"&amp;O4,'Parámetros SMARTCIDI'!$A$48:$D$163,4,FALSE),""))</f>
        <v>1</v>
      </c>
      <c r="Q4" s="118">
        <v>4</v>
      </c>
      <c r="R4" s="118">
        <f t="shared" si="1"/>
        <v>4</v>
      </c>
      <c r="S4" s="118">
        <v>4</v>
      </c>
      <c r="T4" s="118">
        <f t="shared" si="2"/>
        <v>4</v>
      </c>
      <c r="U4" s="118">
        <v>4</v>
      </c>
      <c r="V4" s="118">
        <f t="shared" si="3"/>
        <v>4</v>
      </c>
    </row>
    <row r="5" spans="1:22" ht="24" customHeight="1">
      <c r="A5" s="91" t="s">
        <v>1082</v>
      </c>
      <c r="B5" s="91" t="s">
        <v>1083</v>
      </c>
      <c r="C5" s="91" t="s">
        <v>5</v>
      </c>
      <c r="D5" s="91" t="s">
        <v>1084</v>
      </c>
      <c r="E5" s="91" t="s">
        <v>1085</v>
      </c>
      <c r="F5" s="91" t="s">
        <v>1086</v>
      </c>
      <c r="G5" s="91" t="s">
        <v>1087</v>
      </c>
      <c r="H5" s="91" t="s">
        <v>1088</v>
      </c>
      <c r="I5" s="91" t="s">
        <v>1089</v>
      </c>
      <c r="J5" s="91" t="s">
        <v>888</v>
      </c>
      <c r="K5" s="91" t="s">
        <v>480</v>
      </c>
      <c r="L5" s="91" t="s">
        <v>1090</v>
      </c>
      <c r="M5" s="74"/>
      <c r="N5" s="118" t="s">
        <v>1091</v>
      </c>
      <c r="O5" s="118" t="str">
        <f t="shared" si="0"/>
        <v>1–5</v>
      </c>
      <c r="P5" s="118">
        <f>IF(O5="","",IFERROR(VLOOKUP(N5&amp;"|"&amp;O5,'Parámetros SMARTCIDI'!$A$48:$D$163,4,FALSE),""))</f>
        <v>0</v>
      </c>
      <c r="Q5" s="118">
        <v>5</v>
      </c>
      <c r="R5" s="118">
        <f t="shared" si="1"/>
        <v>0</v>
      </c>
      <c r="S5" s="118">
        <v>5</v>
      </c>
      <c r="T5" s="118">
        <f t="shared" si="2"/>
        <v>0</v>
      </c>
      <c r="U5" s="118">
        <v>5</v>
      </c>
      <c r="V5" s="118">
        <f t="shared" si="3"/>
        <v>0</v>
      </c>
    </row>
    <row r="6" spans="1:22" ht="33.6" customHeight="1">
      <c r="A6" s="141" t="s">
        <v>1092</v>
      </c>
      <c r="B6" s="98">
        <f>IF($B$10=0,"",IFERROR(MIN(100,SUM(R2:R21)/(4*SUMIF(O2:O21,"&lt;&gt;",Q2:Q21))*100+IF(OR(C145="Sí",C146="Sí"),8,0)),""))</f>
        <v>68.211267605633793</v>
      </c>
      <c r="C6" s="99">
        <f>IF(B6="","",IF(B6&lt;=20,1,IF(B6&lt;=40,2,IF(B6&lt;=60,3,IF(B6&lt;=80,4,5)))))</f>
        <v>4</v>
      </c>
      <c r="D6" s="92" t="str">
        <f>IF(C6="","",VLOOKUP(C6,'Parámetros SMARTCIDI'!$A$15:$I$19,4,FALSE)&amp;"–"&amp;VLOOKUP(C6,'Parámetros SMARTCIDI'!$A$15:$I$19,5,FALSE)&amp;" h")</f>
        <v>140–200 h</v>
      </c>
      <c r="E6" s="92" t="str">
        <f>IF(C6="","",ROUNDUP(VLOOKUP(C6,'Parámetros SMARTCIDI'!$A$15:$I$19,6,FALSE)*IF(O19="",1,VLOOKUP(O19,'Parámetros SMARTCIDI'!$A$39:$C$44,3,FALSE)),0)&amp;"–"&amp;ROUNDUP(VLOOKUP(C6,'Parámetros SMARTCIDI'!$A$15:$I$19,7,FALSE)*IF(O19="",1,VLOOKUP(O19,'Parámetros SMARTCIDI'!$A$39:$C$44,3,FALSE)),0)&amp;" semanas")</f>
        <v>24–36 semanas</v>
      </c>
      <c r="F6" s="104">
        <f>IF(C6="","",MAX(VLOOKUP(C6,'Parámetros SMARTCIDI'!$A$15:$I$19,8,FALSE),MIN(((VLOOKUP(C6,'Parámetros SMARTCIDI'!$A$15:$I$19,4,FALSE)+VLOOKUP(C6,'Parámetros SMARTCIDI'!$A$15:$I$19,5,FALSE))/2)*'Parámetros SMARTCIDI'!$B$5*(1+'Parámetros SMARTCIDI'!$B$8),VLOOKUP(C6,'Parámetros SMARTCIDI'!$A$15:$I$19,9,FALSE))))</f>
        <v>10285</v>
      </c>
      <c r="G6" s="105" t="str">
        <f>IF(C6="","","USD "&amp;TEXT(VLOOKUP(C6,'Parámetros SMARTCIDI'!$A$15:$I$19,8,FALSE),"#,##0")&amp;"–"&amp;TEXT(VLOOKUP(C6,'Parámetros SMARTCIDI'!$A$15:$I$19,9,FALSE),"#,##0"))</f>
        <v>USD 7000,0–11000,0</v>
      </c>
      <c r="H6" s="104">
        <f>IF(F6="","",F6*(1+'Parámetros SMARTCIDI'!$B$11))</f>
        <v>11622.05</v>
      </c>
      <c r="I6" s="106" t="s">
        <v>1093</v>
      </c>
      <c r="J6" s="93" t="str">
        <f>IF(C6="","",IF(C6=1,"Consultor PDP",IF(C6=2,"Consultor + apoyo",IF(C6=3,"Líder PDP + seguridad",IF(C6=4,"Equipo multidisciplinario","Proyecto por frentes")))))</f>
        <v>Equipo multidisciplinario</v>
      </c>
      <c r="K6" s="111" t="str">
        <f>$F$10</f>
        <v>PROVISIONAL – ≥3 incertidumbres</v>
      </c>
      <c r="L6" s="112" t="str">
        <f>IF(OR(C145="Sí",C146="Sí"),"Validar alcance reforzado de ciberseguridad 2026; el modelo añade 8 puntos al índice.","Baseline LOPDP + controles de seguridad basados en riesgo.")</f>
        <v>Validar alcance reforzado de ciberseguridad 2026; el modelo añade 8 puntos al índice.</v>
      </c>
      <c r="M6" s="74"/>
      <c r="N6" s="118" t="s">
        <v>1094</v>
      </c>
      <c r="O6" s="118" t="str">
        <f t="shared" si="0"/>
        <v>61–80%</v>
      </c>
      <c r="P6" s="118">
        <f>IF(O6="","",IFERROR(VLOOKUP(N6&amp;"|"&amp;O6,'Parámetros SMARTCIDI'!$A$48:$D$163,4,FALSE),""))</f>
        <v>1</v>
      </c>
      <c r="Q6" s="118">
        <v>5</v>
      </c>
      <c r="R6" s="118">
        <f t="shared" si="1"/>
        <v>5</v>
      </c>
      <c r="S6" s="118">
        <v>4</v>
      </c>
      <c r="T6" s="118">
        <f t="shared" si="2"/>
        <v>4</v>
      </c>
      <c r="U6" s="118">
        <v>3</v>
      </c>
      <c r="V6" s="118">
        <f t="shared" si="3"/>
        <v>3</v>
      </c>
    </row>
    <row r="7" spans="1:22" ht="33.6" customHeight="1">
      <c r="A7" s="142" t="s">
        <v>1095</v>
      </c>
      <c r="B7" s="100">
        <f>IF($B$10=0,"",IFERROR(MIN(100,SUM(T2:T21)/(4*SUMIF(O2:O21,"&lt;&gt;",S2:S21))*100+IF(OR(C145="Sí",C146="Sí"),8,0)),""))</f>
        <v>67.459459459459453</v>
      </c>
      <c r="C7" s="101">
        <f>IF(B7="","",IF(B7&lt;=20,1,IF(B7&lt;=40,2,IF(B7&lt;=60,3,IF(B7&lt;=80,4,5)))))</f>
        <v>4</v>
      </c>
      <c r="D7" s="94" t="str">
        <f>IF(C7="","",VLOOKUP(C7,'Parámetros SMARTCIDI'!$A$23:$I$27,4,FALSE)&amp;"–"&amp;VLOOKUP(C7,'Parámetros SMARTCIDI'!$A$23:$I$27,5,FALSE)&amp;" h")</f>
        <v>55–80 h</v>
      </c>
      <c r="E7" s="94" t="str">
        <f>IF(C7="","",ROUNDUP(VLOOKUP(C7,'Parámetros SMARTCIDI'!$A$23:$I$27,6,FALSE)*IF(O19="",1,VLOOKUP(O19,'Parámetros SMARTCIDI'!$A$39:$C$44,3,FALSE)),0)&amp;"–"&amp;ROUNDUP(VLOOKUP(C7,'Parámetros SMARTCIDI'!$A$23:$I$27,7,FALSE)*IF(O19="",1,VLOOKUP(O19,'Parámetros SMARTCIDI'!$A$39:$C$44,3,FALSE)),0)&amp;" semanas")</f>
        <v>8–11 semanas</v>
      </c>
      <c r="F7" s="107">
        <f>IF(C7="","",MAX(VLOOKUP(C7,'Parámetros SMARTCIDI'!$A$23:$I$27,8,FALSE),MIN(((VLOOKUP(C7,'Parámetros SMARTCIDI'!$A$23:$I$27,4,FALSE)+VLOOKUP(C7,'Parámetros SMARTCIDI'!$A$23:$I$27,5,FALSE))/2)*'Parámetros SMARTCIDI'!$B$6*(1+'Parámetros SMARTCIDI'!$B$9),VLOOKUP(C7,'Parámetros SMARTCIDI'!$A$23:$I$27,9,FALSE))))</f>
        <v>4252.5</v>
      </c>
      <c r="G7" s="108" t="str">
        <f>IF(C7="","","USD "&amp;TEXT(VLOOKUP(C7,'Parámetros SMARTCIDI'!$A$23:$I$27,8,FALSE),"#,##0")&amp;"–"&amp;TEXT(VLOOKUP(C7,'Parámetros SMARTCIDI'!$A$23:$I$27,9,FALSE),"#,##0"))</f>
        <v>USD 3000,0–4500,0</v>
      </c>
      <c r="H7" s="107">
        <f>IF(F7="","",F7*(1+'Parámetros SMARTCIDI'!$B$11))</f>
        <v>4805.3249999999998</v>
      </c>
      <c r="I7" s="109" t="s">
        <v>1093</v>
      </c>
      <c r="J7" s="95" t="str">
        <f>IF(C7="","",IF(C7=1,"Auditor PDP",IF(C7=2,"Auditor + apoyo",IF(C7=3,"Auditor + especialista TI",IF(C7=4,"Equipo auditor multidisciplinario","Auditoría por frentes")))))</f>
        <v>Equipo auditor multidisciplinario</v>
      </c>
      <c r="K7" s="113" t="str">
        <f>$F$10</f>
        <v>PROVISIONAL – ≥3 incertidumbres</v>
      </c>
      <c r="L7" s="114" t="str">
        <f>IF(OR(C145="Sí",C146="Sí"),"Incluir revisión específica de obligaciones/ciberseguridad. Pentest no incluido.","Auditoría LOPDP + organizativa/técnica; pentest/certificación se cotizan aparte.")</f>
        <v>Incluir revisión específica de obligaciones/ciberseguridad. Pentest no incluido.</v>
      </c>
      <c r="M7" s="74"/>
      <c r="N7" s="118" t="s">
        <v>1096</v>
      </c>
      <c r="O7" s="118" t="str">
        <f t="shared" si="0"/>
        <v>50.001–250.000</v>
      </c>
      <c r="P7" s="118">
        <f>IF(O7="","",IFERROR(VLOOKUP(N7&amp;"|"&amp;O7,'Parámetros SMARTCIDI'!$A$48:$D$163,4,FALSE),""))</f>
        <v>3</v>
      </c>
      <c r="Q7" s="118">
        <v>4</v>
      </c>
      <c r="R7" s="118">
        <f t="shared" si="1"/>
        <v>12</v>
      </c>
      <c r="S7" s="118">
        <v>4</v>
      </c>
      <c r="T7" s="118">
        <f t="shared" si="2"/>
        <v>12</v>
      </c>
      <c r="U7" s="118">
        <v>5</v>
      </c>
      <c r="V7" s="118">
        <f t="shared" si="3"/>
        <v>15</v>
      </c>
    </row>
    <row r="8" spans="1:22" ht="33.6" customHeight="1">
      <c r="A8" s="143" t="s">
        <v>1097</v>
      </c>
      <c r="B8" s="102">
        <f>IF($B$10=0,"",IFERROR(SUM(V2:V21)/(4*SUMIF(O2:O21,"&lt;&gt;",U2:U21))*100,""))</f>
        <v>61.397058823529413</v>
      </c>
      <c r="C8" s="103">
        <f>IF(B8="","",MAX(IF(B8&lt;=20,1,IF(B8&lt;=40,2,IF(B8&lt;=60,3,IF(B8&lt;=80,4,5)))),IF(COUNTIF(C135:C144,"Sí")&gt;0,2,1),IF(AND(COUNTIF(C135:C144,"Sí")&gt;0,P12&gt;=2),3,1)))</f>
        <v>4</v>
      </c>
      <c r="D8" s="96" t="str">
        <f>IF(C8="","",VLOOKUP(C8,'Parámetros SMARTCIDI'!$A$31:$I$35,4,FALSE)&amp;" h/mes")</f>
        <v>16 h/mes</v>
      </c>
      <c r="E8" s="96" t="s">
        <v>1098</v>
      </c>
      <c r="F8" s="110">
        <f>IF(C8="","",MAX(VLOOKUP(C8,'Parámetros SMARTCIDI'!$A$31:$I$35,5,FALSE),MIN(VLOOKUP(C8,'Parámetros SMARTCIDI'!$A$31:$I$35,4,FALSE)*'Parámetros SMARTCIDI'!$B$7,VLOOKUP(C8,'Parámetros SMARTCIDI'!$A$31:$I$35,6,FALSE))))</f>
        <v>1040</v>
      </c>
      <c r="G8" s="110" t="str">
        <f>IF(C8="","","USD "&amp;TEXT(VLOOKUP(C8,'Parámetros SMARTCIDI'!$A$31:$I$35,5,FALSE),"#,##0")&amp;"–"&amp;TEXT(VLOOKUP(C8,'Parámetros SMARTCIDI'!$A$31:$I$35,6,FALSE),"#,##0")&amp;" / mes")</f>
        <v>USD 850,0–1200,0 / mes</v>
      </c>
      <c r="H8" s="110">
        <f>IF(F8="","",F8*(1+'Parámetros SMARTCIDI'!$B$11))</f>
        <v>1175.1999999999998</v>
      </c>
      <c r="I8" s="117">
        <f>IF(H8="","",H8*12)</f>
        <v>14102.399999999998</v>
      </c>
      <c r="J8" s="97" t="str">
        <f>IF(C8="","",VLOOKUP(C8,'Parámetros SMARTCIDI'!$A$31:$I$35,7,FALSE))</f>
        <v>DPO senior + soporte</v>
      </c>
      <c r="K8" s="115" t="str">
        <f>$F$10</f>
        <v>PROVISIONAL – ≥3 incertidumbres</v>
      </c>
      <c r="L8" s="116" t="str">
        <f>IF(COUNTIF(C135:C144,"Sí")&gt;0,"Existe al menos un supuesto del Reglamento DPD que requiere validación jurídica prioritaria.",IF(OR(P12&gt;=2,AND(P13&gt;=2,P7&gt;=3)),"Analizar obligación por categorías especiales, escala o monitoreo sistemático.","No se identifica disparador directo con la información declarada."))</f>
        <v>Existe al menos un supuesto del Reglamento DPD que requiere validación jurídica prioritaria.</v>
      </c>
      <c r="M8" s="74"/>
      <c r="N8" s="118" t="s">
        <v>1099</v>
      </c>
      <c r="O8" s="118" t="str">
        <f>IF(COUNTA(B32:B44)=0,"",IF(COUNTA(B32:B44)&lt;13,"Desconocido",IF(B45&lt;=2,"0–2",IF(B45&lt;=5,"3–5",IF(B45&lt;=8,"6–8",IF(B45&lt;=11,"9–11","≥12"))))))</f>
        <v>9–11</v>
      </c>
      <c r="P8" s="118">
        <f>IF(O8="","",IFERROR(VLOOKUP(N8&amp;"|"&amp;O8,'Parámetros SMARTCIDI'!$A$48:$D$163,4,FALSE),""))</f>
        <v>3</v>
      </c>
      <c r="Q8" s="118">
        <v>4</v>
      </c>
      <c r="R8" s="118">
        <f t="shared" si="1"/>
        <v>12</v>
      </c>
      <c r="S8" s="118">
        <v>5</v>
      </c>
      <c r="T8" s="118">
        <f t="shared" si="2"/>
        <v>15</v>
      </c>
      <c r="U8" s="118">
        <v>4</v>
      </c>
      <c r="V8" s="118">
        <f t="shared" si="3"/>
        <v>12</v>
      </c>
    </row>
    <row r="9" spans="1:22" ht="14.4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4"/>
      <c r="N9" s="118" t="s">
        <v>1100</v>
      </c>
      <c r="O9" s="118" t="str">
        <f>IF(COUNTA(B49:B60)=0,"",IF(COUNTA(B49:B60)&lt;12,"Desconocido",IF(B61&lt;=2,"0–2",IF(B61&lt;=4,"3–4",IF(B61&lt;=6,"5–6",IF(B61&lt;=9,"7–9","≥10"))))))</f>
        <v>7–9</v>
      </c>
      <c r="P9" s="118">
        <f>IF(O9="","",IFERROR(VLOOKUP(N9&amp;"|"&amp;O9,'Parámetros SMARTCIDI'!$A$48:$D$163,4,FALSE),""))</f>
        <v>3</v>
      </c>
      <c r="Q9" s="118">
        <v>3</v>
      </c>
      <c r="R9" s="118">
        <f t="shared" si="1"/>
        <v>9</v>
      </c>
      <c r="S9" s="118">
        <v>3</v>
      </c>
      <c r="T9" s="118">
        <f t="shared" si="2"/>
        <v>9</v>
      </c>
      <c r="U9" s="118">
        <v>3</v>
      </c>
      <c r="V9" s="118">
        <f t="shared" si="3"/>
        <v>9</v>
      </c>
    </row>
    <row r="10" spans="1:22" ht="27.6">
      <c r="A10" s="76" t="s">
        <v>1101</v>
      </c>
      <c r="B10" s="77">
        <f>((COUNTIF(C17:C28,"&lt;&gt;")/12)+(COUNTIF(B32:B44,"&lt;&gt;")/13)+(COUNTIF(B49:B60,"&lt;&gt;")/12)+(COUNTIF(B65:B76,"&lt;&gt;")/12)+(COUNTIF(C65:C76,"&lt;&gt;")/12)+(COUNTIF(B81:B92,"&lt;&gt;")/12)+(COUNTIF(B97:B102,"&lt;&gt;")/6)+(COUNTIF(B107:B116,"&lt;&gt;")/10)+(COUNTIF(B121:B130,"&lt;&gt;")/10))/9</f>
        <v>0.87962962962962965</v>
      </c>
      <c r="C10" s="76" t="s">
        <v>1102</v>
      </c>
      <c r="D10" s="78">
        <f>COUNTIF(C17:C28,"Desconocido")+COUNTIF(C17:C28,"No sabe")+COUNTIF(B32:B44,"No sabe")+COUNTIF(B49:B60,"No sabe")+COUNTIF(B65:B76,"No sabe")+COUNTIF(C65:C76,"No sabe")+COUNTIF(B81:B92,"No sabe")+COUNTIF(B97:B102,"No sabe")+COUNTIF(B107:B116,"No sabe")+COUNTIF(B121:B130,"No sabe")</f>
        <v>28</v>
      </c>
      <c r="E10" s="76" t="s">
        <v>1103</v>
      </c>
      <c r="F10" s="78" t="str">
        <f>IF(B10&lt;'Parámetros SMARTCIDI'!$B$10,"PROVISIONAL – falta información",IF(D10&gt;=3,"PROVISIONAL – ≥3 incertidumbres","RESULTADO UTILIZABLE"))</f>
        <v>PROVISIONAL – ≥3 incertidumbres</v>
      </c>
      <c r="G10" s="76" t="s">
        <v>1104</v>
      </c>
      <c r="H10" s="77">
        <f>'Parámetros SMARTCIDI'!$B$11</f>
        <v>0.13</v>
      </c>
      <c r="I10" s="76" t="s">
        <v>1105</v>
      </c>
      <c r="J10" s="78" t="s">
        <v>1106</v>
      </c>
      <c r="K10" s="75" t="s">
        <v>1107</v>
      </c>
      <c r="L10" s="75" t="s">
        <v>1108</v>
      </c>
      <c r="M10" s="74"/>
      <c r="N10" s="118" t="s">
        <v>1109</v>
      </c>
      <c r="O10" s="118" t="str">
        <f>IF(COUNTA(B65:B76)=0,"",IF(COUNTA(B65:B76)&lt;12,"Desconocido",IF(B77&lt;=2,"0–2",IF(B77&lt;=4,"3–4",IF(B77&lt;=7,"5–7",IF(B77&lt;=10,"8–10","≥11"))))))</f>
        <v>5–7</v>
      </c>
      <c r="P10" s="118">
        <f>IF(O10="","",IFERROR(VLOOKUP(N10&amp;"|"&amp;O10,'Parámetros SMARTCIDI'!$A$48:$D$163,4,FALSE),""))</f>
        <v>2</v>
      </c>
      <c r="Q10" s="118">
        <v>3</v>
      </c>
      <c r="R10" s="118">
        <f t="shared" si="1"/>
        <v>6</v>
      </c>
      <c r="S10" s="118">
        <v>4</v>
      </c>
      <c r="T10" s="118">
        <f t="shared" si="2"/>
        <v>8</v>
      </c>
      <c r="U10" s="118">
        <v>3</v>
      </c>
      <c r="V10" s="118">
        <f t="shared" si="3"/>
        <v>6</v>
      </c>
    </row>
    <row r="11" spans="1:22" ht="14.4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4"/>
      <c r="N11" s="118" t="s">
        <v>1110</v>
      </c>
      <c r="O11" s="118" t="str">
        <f>IF(COUNTA(C65:C76)=0,"",IF(COUNTA(C65:C76)&lt;12,"Desconocido",IF(C77=0,"0",IF(C77=1,"1",IF(C77&lt;=3,"2–3",IF(C77&lt;=5,"4–5","≥6"))))))</f>
        <v/>
      </c>
      <c r="P11" s="118" t="str">
        <f>IF(O11="","",IFERROR(VLOOKUP(N11&amp;"|"&amp;O11,'Parámetros SMARTCIDI'!$A$48:$D$163,4,FALSE),""))</f>
        <v/>
      </c>
      <c r="Q11" s="118">
        <v>3</v>
      </c>
      <c r="R11" s="118" t="str">
        <f t="shared" si="1"/>
        <v/>
      </c>
      <c r="S11" s="118">
        <v>4</v>
      </c>
      <c r="T11" s="118" t="str">
        <f t="shared" si="2"/>
        <v/>
      </c>
      <c r="U11" s="118">
        <v>3</v>
      </c>
      <c r="V11" s="118" t="str">
        <f t="shared" si="3"/>
        <v/>
      </c>
    </row>
    <row r="12" spans="1:22" ht="19.2" customHeight="1">
      <c r="A12" s="173" t="s">
        <v>1111</v>
      </c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74"/>
      <c r="N12" s="118" t="s">
        <v>1112</v>
      </c>
      <c r="O12" s="118" t="str">
        <f>IF(COUNTA(B81:B92)=0,"",IF(COUNTA(B81:B92)&lt;12,"Desconocido",IF(B93=0,"0",IF(B93=1,"1",IF(B93=2,"2",IF(B93=3,"3","≥4"))))))</f>
        <v>Desconocido</v>
      </c>
      <c r="P12" s="118">
        <f>IF(O12="","",IFERROR(VLOOKUP(N12&amp;"|"&amp;O12,'Parámetros SMARTCIDI'!$A$48:$D$163,4,FALSE),""))</f>
        <v>4</v>
      </c>
      <c r="Q12" s="118">
        <v>5</v>
      </c>
      <c r="R12" s="118">
        <f t="shared" si="1"/>
        <v>20</v>
      </c>
      <c r="S12" s="118">
        <v>5</v>
      </c>
      <c r="T12" s="118">
        <f t="shared" si="2"/>
        <v>20</v>
      </c>
      <c r="U12" s="118">
        <v>5</v>
      </c>
      <c r="V12" s="118">
        <f t="shared" si="3"/>
        <v>20</v>
      </c>
    </row>
    <row r="13" spans="1:22" ht="33.6" customHeight="1">
      <c r="A13" s="179" t="s">
        <v>1113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74"/>
      <c r="N13" s="118" t="s">
        <v>1114</v>
      </c>
      <c r="O13" s="118" t="str">
        <f>IF(C23="","",C23)</f>
        <v>&gt;10.000</v>
      </c>
      <c r="P13" s="118">
        <f>IF(O13="","",IFERROR(VLOOKUP(N13&amp;"|"&amp;O13,'Parámetros SMARTCIDI'!$A$48:$D$163,4,FALSE),""))</f>
        <v>4</v>
      </c>
      <c r="Q13" s="118">
        <v>4</v>
      </c>
      <c r="R13" s="118">
        <f t="shared" si="1"/>
        <v>16</v>
      </c>
      <c r="S13" s="118">
        <v>4</v>
      </c>
      <c r="T13" s="118">
        <f t="shared" si="2"/>
        <v>16</v>
      </c>
      <c r="U13" s="118">
        <v>5</v>
      </c>
      <c r="V13" s="118">
        <f t="shared" si="3"/>
        <v>20</v>
      </c>
    </row>
    <row r="14" spans="1:22" ht="46.35" customHeight="1">
      <c r="A14" s="144"/>
      <c r="B14" s="145"/>
      <c r="C14" s="145"/>
      <c r="D14" s="146"/>
      <c r="E14" s="146"/>
      <c r="F14" s="146"/>
      <c r="G14" s="146"/>
      <c r="H14" s="146"/>
      <c r="I14" s="146"/>
      <c r="J14" s="146"/>
      <c r="K14" s="145"/>
      <c r="L14" s="147"/>
      <c r="M14" s="74"/>
      <c r="N14" s="118" t="s">
        <v>1115</v>
      </c>
      <c r="O14" s="118" t="str">
        <f>IF(COUNTA(B97:B102)=0,"",IF(COUNTA(B97:B102)&lt;6,"Desconocido",IF(B103=0,"0",IF(B103=1,"1",IF(B103=2,"2",IF(B103=3,"3","≥4"))))))</f>
        <v>2</v>
      </c>
      <c r="P14" s="118">
        <f>IF(O14="","",IFERROR(VLOOKUP(N14&amp;"|"&amp;O14,'Parámetros SMARTCIDI'!$A$48:$D$163,4,FALSE),""))</f>
        <v>2</v>
      </c>
      <c r="Q14" s="118">
        <v>4</v>
      </c>
      <c r="R14" s="118">
        <f t="shared" si="1"/>
        <v>8</v>
      </c>
      <c r="S14" s="118">
        <v>5</v>
      </c>
      <c r="T14" s="118">
        <f t="shared" si="2"/>
        <v>10</v>
      </c>
      <c r="U14" s="118">
        <v>5</v>
      </c>
      <c r="V14" s="118">
        <f t="shared" si="3"/>
        <v>10</v>
      </c>
    </row>
    <row r="15" spans="1:22" ht="19.2" customHeight="1">
      <c r="A15" s="173" t="s">
        <v>1116</v>
      </c>
      <c r="B15" s="173"/>
      <c r="C15" s="173"/>
      <c r="D15" s="174"/>
      <c r="E15" s="174"/>
      <c r="F15" s="174"/>
      <c r="G15" s="174"/>
      <c r="H15" s="174"/>
      <c r="I15" s="174"/>
      <c r="J15" s="174"/>
      <c r="K15" s="173"/>
      <c r="L15" s="173"/>
      <c r="M15" s="74"/>
      <c r="N15" s="118" t="s">
        <v>1117</v>
      </c>
      <c r="O15" s="118" t="str">
        <f>IF(COUNTA(B107:B116)=0,"",IF(COUNTA(B107:B116)&lt;10,"Desconocido",IF(B117&gt;=9,"9–10",IF(B117&gt;=7,"7–8",IF(B117&gt;=5,"5–6",IF(B117&gt;=3,"3–4","0–2"))))))</f>
        <v>0–2</v>
      </c>
      <c r="P15" s="118">
        <f>IF(O15="","",IFERROR(VLOOKUP(N15&amp;"|"&amp;O15,'Parámetros SMARTCIDI'!$A$48:$D$163,4,FALSE),""))</f>
        <v>4</v>
      </c>
      <c r="Q15" s="118">
        <v>5</v>
      </c>
      <c r="R15" s="118">
        <f t="shared" si="1"/>
        <v>20</v>
      </c>
      <c r="S15" s="118">
        <v>5</v>
      </c>
      <c r="T15" s="118">
        <f t="shared" si="2"/>
        <v>20</v>
      </c>
      <c r="U15" s="118">
        <v>3</v>
      </c>
      <c r="V15" s="118">
        <f t="shared" si="3"/>
        <v>12</v>
      </c>
    </row>
    <row r="16" spans="1:22" ht="24" customHeight="1">
      <c r="A16" s="91" t="s">
        <v>19</v>
      </c>
      <c r="B16" s="91" t="s">
        <v>1118</v>
      </c>
      <c r="C16" s="91" t="s">
        <v>1119</v>
      </c>
      <c r="D16" s="91" t="s">
        <v>1120</v>
      </c>
      <c r="E16" s="91" t="s">
        <v>1121</v>
      </c>
      <c r="F16" s="81"/>
      <c r="G16" s="80"/>
      <c r="H16" s="81"/>
      <c r="I16" s="80"/>
      <c r="J16" s="81"/>
      <c r="K16" s="79"/>
      <c r="L16" s="75"/>
      <c r="M16" s="74"/>
      <c r="N16" s="118" t="s">
        <v>1122</v>
      </c>
      <c r="O16" s="118" t="str">
        <f>IF(COUNTA(B121:B130)=0,"",IF(COUNTA(B121:B130)&lt;10,"Desconocido",IF(B131&gt;=9,"9–10",IF(B131&gt;=7,"7–8",IF(B131&gt;=5,"5–6",IF(B131&gt;=3,"3–4","0–2"))))))</f>
        <v>0–2</v>
      </c>
      <c r="P16" s="118">
        <f>IF(O16="","",IFERROR(VLOOKUP(N16&amp;"|"&amp;O16,'Parámetros SMARTCIDI'!$A$48:$D$163,4,FALSE),""))</f>
        <v>4</v>
      </c>
      <c r="Q16" s="118">
        <v>5</v>
      </c>
      <c r="R16" s="118">
        <f t="shared" si="1"/>
        <v>20</v>
      </c>
      <c r="S16" s="118">
        <v>4</v>
      </c>
      <c r="T16" s="118">
        <f t="shared" si="2"/>
        <v>16</v>
      </c>
      <c r="U16" s="118">
        <v>3</v>
      </c>
      <c r="V16" s="118">
        <f t="shared" si="3"/>
        <v>12</v>
      </c>
    </row>
    <row r="17" spans="1:22" ht="28.8" customHeight="1">
      <c r="A17" s="138" t="s">
        <v>1078</v>
      </c>
      <c r="B17" s="127" t="s">
        <v>1123</v>
      </c>
      <c r="C17" s="130" t="s">
        <v>1438</v>
      </c>
      <c r="D17" s="139" t="s">
        <v>1124</v>
      </c>
      <c r="E17" s="126" t="s">
        <v>1125</v>
      </c>
      <c r="F17" s="81"/>
      <c r="G17" s="83"/>
      <c r="H17" s="81"/>
      <c r="I17" s="83"/>
      <c r="J17" s="81"/>
      <c r="K17" s="82"/>
      <c r="L17" s="75"/>
      <c r="M17" s="74"/>
      <c r="N17" s="118" t="s">
        <v>1126</v>
      </c>
      <c r="O17" s="118" t="str">
        <f>IF(C24="","",C24)</f>
        <v>Desconocido</v>
      </c>
      <c r="P17" s="118">
        <f>IF(O17="","",IFERROR(VLOOKUP(N17&amp;"|"&amp;O17,'Parámetros SMARTCIDI'!$A$48:$D$163,4,FALSE),""))</f>
        <v>4</v>
      </c>
      <c r="Q17" s="118">
        <v>4</v>
      </c>
      <c r="R17" s="118">
        <f t="shared" si="1"/>
        <v>16</v>
      </c>
      <c r="S17" s="118">
        <v>4</v>
      </c>
      <c r="T17" s="118">
        <f t="shared" si="2"/>
        <v>16</v>
      </c>
      <c r="U17" s="118">
        <v>4</v>
      </c>
      <c r="V17" s="118">
        <f t="shared" si="3"/>
        <v>16</v>
      </c>
    </row>
    <row r="18" spans="1:22" ht="28.8" customHeight="1">
      <c r="A18" s="138" t="s">
        <v>1079</v>
      </c>
      <c r="B18" s="127" t="s">
        <v>1127</v>
      </c>
      <c r="C18" s="130" t="s">
        <v>1449</v>
      </c>
      <c r="D18" s="139" t="s">
        <v>1124</v>
      </c>
      <c r="E18" s="126" t="s">
        <v>1128</v>
      </c>
      <c r="F18" s="81"/>
      <c r="G18" s="80"/>
      <c r="H18" s="81"/>
      <c r="I18" s="80"/>
      <c r="J18" s="81"/>
      <c r="K18" s="79"/>
      <c r="L18" s="75"/>
      <c r="M18" s="74"/>
      <c r="N18" s="118" t="s">
        <v>1129</v>
      </c>
      <c r="O18" s="118" t="str">
        <f>IF(C25="","",C25)</f>
        <v>Desconocido</v>
      </c>
      <c r="P18" s="118">
        <f>IF(O18="","",IFERROR(VLOOKUP(N18&amp;"|"&amp;O18,'Parámetros SMARTCIDI'!$A$48:$D$163,4,FALSE),""))</f>
        <v>4</v>
      </c>
      <c r="Q18" s="118">
        <v>3</v>
      </c>
      <c r="R18" s="118">
        <f t="shared" si="1"/>
        <v>12</v>
      </c>
      <c r="S18" s="118">
        <v>3</v>
      </c>
      <c r="T18" s="118">
        <f t="shared" si="2"/>
        <v>12</v>
      </c>
      <c r="U18" s="118">
        <v>5</v>
      </c>
      <c r="V18" s="118">
        <f t="shared" si="3"/>
        <v>20</v>
      </c>
    </row>
    <row r="19" spans="1:22" ht="28.8" customHeight="1">
      <c r="A19" s="138" t="s">
        <v>1081</v>
      </c>
      <c r="B19" s="127" t="s">
        <v>1130</v>
      </c>
      <c r="C19" s="130" t="s">
        <v>1460</v>
      </c>
      <c r="D19" s="139" t="s">
        <v>1124</v>
      </c>
      <c r="E19" s="126" t="s">
        <v>1131</v>
      </c>
      <c r="F19" s="81"/>
      <c r="G19" s="83"/>
      <c r="H19" s="81"/>
      <c r="I19" s="83"/>
      <c r="J19" s="81"/>
      <c r="K19" s="82"/>
      <c r="L19" s="75"/>
      <c r="M19" s="74"/>
      <c r="N19" s="118" t="s">
        <v>1132</v>
      </c>
      <c r="O19" s="118" t="str">
        <f>IF(C26="","",C26)</f>
        <v>Desconocido</v>
      </c>
      <c r="P19" s="118">
        <f>IF(O19="","",IFERROR(VLOOKUP(N19&amp;"|"&amp;O19,'Parámetros SMARTCIDI'!$A$48:$D$163,4,FALSE),""))</f>
        <v>4</v>
      </c>
      <c r="Q19" s="118">
        <v>0</v>
      </c>
      <c r="R19" s="118">
        <f t="shared" si="1"/>
        <v>0</v>
      </c>
      <c r="S19" s="118">
        <v>0</v>
      </c>
      <c r="T19" s="118">
        <f t="shared" si="2"/>
        <v>0</v>
      </c>
      <c r="U19" s="118">
        <v>0</v>
      </c>
      <c r="V19" s="118">
        <f t="shared" si="3"/>
        <v>0</v>
      </c>
    </row>
    <row r="20" spans="1:22" ht="28.8" customHeight="1">
      <c r="A20" s="138" t="s">
        <v>1091</v>
      </c>
      <c r="B20" s="127" t="s">
        <v>1133</v>
      </c>
      <c r="C20" s="130" t="s">
        <v>1469</v>
      </c>
      <c r="D20" s="139" t="s">
        <v>1124</v>
      </c>
      <c r="E20" s="126" t="s">
        <v>1134</v>
      </c>
      <c r="F20" s="81"/>
      <c r="G20" s="80"/>
      <c r="H20" s="81"/>
      <c r="I20" s="80"/>
      <c r="J20" s="81"/>
      <c r="K20" s="79"/>
      <c r="L20" s="75"/>
      <c r="M20" s="74"/>
      <c r="N20" s="118" t="s">
        <v>1135</v>
      </c>
      <c r="O20" s="118" t="str">
        <f>IF(C27="","",C27)</f>
        <v>No sabe</v>
      </c>
      <c r="P20" s="118">
        <f>IF(O20="","",IFERROR(VLOOKUP(N20&amp;"|"&amp;O20,'Parámetros SMARTCIDI'!$A$48:$D$163,4,FALSE),""))</f>
        <v>3</v>
      </c>
      <c r="Q20" s="118">
        <v>2</v>
      </c>
      <c r="R20" s="118">
        <f t="shared" si="1"/>
        <v>6</v>
      </c>
      <c r="S20" s="118">
        <v>3</v>
      </c>
      <c r="T20" s="118">
        <f t="shared" si="2"/>
        <v>9</v>
      </c>
      <c r="U20" s="118">
        <v>1</v>
      </c>
      <c r="V20" s="118">
        <f t="shared" si="3"/>
        <v>3</v>
      </c>
    </row>
    <row r="21" spans="1:22" ht="28.8" customHeight="1">
      <c r="A21" s="138" t="s">
        <v>1094</v>
      </c>
      <c r="B21" s="127" t="s">
        <v>1136</v>
      </c>
      <c r="C21" s="130" t="s">
        <v>1482</v>
      </c>
      <c r="D21" s="139" t="s">
        <v>1137</v>
      </c>
      <c r="E21" s="126" t="s">
        <v>1138</v>
      </c>
      <c r="F21" s="81"/>
      <c r="G21" s="83"/>
      <c r="H21" s="81"/>
      <c r="I21" s="83"/>
      <c r="J21" s="81"/>
      <c r="K21" s="82"/>
      <c r="L21" s="75"/>
      <c r="M21" s="74"/>
      <c r="N21" s="118" t="s">
        <v>1139</v>
      </c>
      <c r="O21" s="118" t="str">
        <f>IF(C28="","",C28)</f>
        <v>Centralizado</v>
      </c>
      <c r="P21" s="118">
        <f>IF(O21="","",IFERROR(VLOOKUP(N21&amp;"|"&amp;O21,'Parámetros SMARTCIDI'!$A$48:$D$163,4,FALSE),""))</f>
        <v>0</v>
      </c>
      <c r="Q21" s="118">
        <v>3</v>
      </c>
      <c r="R21" s="118">
        <f t="shared" si="1"/>
        <v>0</v>
      </c>
      <c r="S21" s="118">
        <v>3</v>
      </c>
      <c r="T21" s="118">
        <f t="shared" si="2"/>
        <v>0</v>
      </c>
      <c r="U21" s="118">
        <v>2</v>
      </c>
      <c r="V21" s="118">
        <f t="shared" si="3"/>
        <v>0</v>
      </c>
    </row>
    <row r="22" spans="1:22" ht="28.8" customHeight="1">
      <c r="A22" s="138" t="s">
        <v>1096</v>
      </c>
      <c r="B22" s="127" t="s">
        <v>1140</v>
      </c>
      <c r="C22" s="130" t="s">
        <v>1497</v>
      </c>
      <c r="D22" s="139" t="s">
        <v>1124</v>
      </c>
      <c r="E22" s="126" t="s">
        <v>1141</v>
      </c>
      <c r="F22" s="81"/>
      <c r="G22" s="80"/>
      <c r="H22" s="81"/>
      <c r="I22" s="80"/>
      <c r="J22" s="81"/>
      <c r="K22" s="79"/>
      <c r="L22" s="75"/>
      <c r="M22" s="74"/>
      <c r="N22" s="74"/>
      <c r="O22" s="74"/>
      <c r="P22" s="74"/>
      <c r="Q22" s="74"/>
      <c r="R22" s="74"/>
      <c r="S22" s="74"/>
      <c r="T22" s="74"/>
      <c r="U22" s="74"/>
      <c r="V22" s="74"/>
    </row>
    <row r="23" spans="1:22" ht="28.8" customHeight="1">
      <c r="A23" s="138" t="s">
        <v>1114</v>
      </c>
      <c r="B23" s="127" t="s">
        <v>1142</v>
      </c>
      <c r="C23" s="130" t="s">
        <v>1556</v>
      </c>
      <c r="D23" s="139" t="s">
        <v>1124</v>
      </c>
      <c r="E23" s="126" t="s">
        <v>1143</v>
      </c>
      <c r="F23" s="81"/>
      <c r="G23" s="83"/>
      <c r="H23" s="81"/>
      <c r="I23" s="83"/>
      <c r="J23" s="81"/>
      <c r="K23" s="82"/>
      <c r="L23" s="75"/>
      <c r="M23" s="74"/>
      <c r="N23" s="74"/>
      <c r="O23" s="74"/>
      <c r="P23" s="74"/>
      <c r="Q23" s="74"/>
      <c r="R23" s="74"/>
      <c r="S23" s="74"/>
      <c r="T23" s="74"/>
      <c r="U23" s="74"/>
      <c r="V23" s="74"/>
    </row>
    <row r="24" spans="1:22" ht="28.8" customHeight="1">
      <c r="A24" s="138" t="s">
        <v>1126</v>
      </c>
      <c r="B24" s="127" t="s">
        <v>1144</v>
      </c>
      <c r="C24" s="130" t="s">
        <v>1433</v>
      </c>
      <c r="D24" s="139" t="s">
        <v>1137</v>
      </c>
      <c r="E24" s="126" t="s">
        <v>1145</v>
      </c>
      <c r="F24" s="81"/>
      <c r="G24" s="80"/>
      <c r="H24" s="81"/>
      <c r="I24" s="80"/>
      <c r="J24" s="81"/>
      <c r="K24" s="79"/>
      <c r="L24" s="75"/>
      <c r="M24" s="74"/>
      <c r="N24" s="74"/>
      <c r="O24" s="74"/>
      <c r="P24" s="74"/>
      <c r="Q24" s="74"/>
      <c r="R24" s="74"/>
      <c r="S24" s="74"/>
      <c r="T24" s="74"/>
      <c r="U24" s="74"/>
      <c r="V24" s="74"/>
    </row>
    <row r="25" spans="1:22" ht="28.8" customHeight="1">
      <c r="A25" s="138" t="s">
        <v>1129</v>
      </c>
      <c r="B25" s="127" t="s">
        <v>1146</v>
      </c>
      <c r="C25" s="130" t="s">
        <v>1433</v>
      </c>
      <c r="D25" s="139" t="s">
        <v>1124</v>
      </c>
      <c r="E25" s="126" t="s">
        <v>1147</v>
      </c>
      <c r="F25" s="81"/>
      <c r="G25" s="83"/>
      <c r="H25" s="81"/>
      <c r="I25" s="83"/>
      <c r="J25" s="81"/>
      <c r="K25" s="82"/>
      <c r="L25" s="75"/>
      <c r="M25" s="74"/>
      <c r="N25" s="74"/>
      <c r="O25" s="74"/>
      <c r="P25" s="74"/>
      <c r="Q25" s="74"/>
      <c r="R25" s="74"/>
      <c r="S25" s="74"/>
      <c r="T25" s="74"/>
      <c r="U25" s="74"/>
      <c r="V25" s="74"/>
    </row>
    <row r="26" spans="1:22" ht="28.8" customHeight="1">
      <c r="A26" s="138" t="s">
        <v>1132</v>
      </c>
      <c r="B26" s="127" t="s">
        <v>1148</v>
      </c>
      <c r="C26" s="130" t="s">
        <v>1433</v>
      </c>
      <c r="D26" s="139" t="s">
        <v>1149</v>
      </c>
      <c r="E26" s="126" t="s">
        <v>1150</v>
      </c>
      <c r="F26" s="81"/>
      <c r="G26" s="80"/>
      <c r="H26" s="81"/>
      <c r="I26" s="80"/>
      <c r="J26" s="81"/>
      <c r="K26" s="79"/>
      <c r="L26" s="75"/>
      <c r="M26" s="74"/>
      <c r="N26" s="74"/>
      <c r="O26" s="74"/>
      <c r="P26" s="74"/>
      <c r="Q26" s="74"/>
      <c r="R26" s="74"/>
      <c r="S26" s="74"/>
      <c r="T26" s="74"/>
      <c r="U26" s="74"/>
      <c r="V26" s="74"/>
    </row>
    <row r="27" spans="1:22" ht="28.8" customHeight="1">
      <c r="A27" s="138" t="s">
        <v>1135</v>
      </c>
      <c r="B27" s="127" t="s">
        <v>1151</v>
      </c>
      <c r="C27" s="130" t="s">
        <v>1605</v>
      </c>
      <c r="D27" s="139" t="s">
        <v>969</v>
      </c>
      <c r="E27" s="126" t="s">
        <v>1152</v>
      </c>
      <c r="F27" s="81"/>
      <c r="G27" s="83"/>
      <c r="H27" s="81"/>
      <c r="I27" s="83"/>
      <c r="J27" s="81"/>
      <c r="K27" s="82"/>
      <c r="L27" s="75"/>
      <c r="M27" s="74"/>
      <c r="N27" s="74"/>
      <c r="O27" s="74"/>
      <c r="P27" s="74"/>
      <c r="Q27" s="74"/>
      <c r="R27" s="74"/>
      <c r="S27" s="74"/>
      <c r="T27" s="74"/>
      <c r="U27" s="74"/>
      <c r="V27" s="74"/>
    </row>
    <row r="28" spans="1:22" ht="28.8" customHeight="1">
      <c r="A28" s="138" t="s">
        <v>1139</v>
      </c>
      <c r="B28" s="127" t="s">
        <v>1153</v>
      </c>
      <c r="C28" s="130" t="s">
        <v>1608</v>
      </c>
      <c r="D28" s="139" t="s">
        <v>1154</v>
      </c>
      <c r="E28" s="126" t="s">
        <v>1155</v>
      </c>
      <c r="F28" s="81"/>
      <c r="G28" s="80"/>
      <c r="H28" s="81"/>
      <c r="I28" s="80"/>
      <c r="J28" s="81"/>
      <c r="K28" s="79"/>
      <c r="L28" s="75"/>
      <c r="M28" s="74"/>
      <c r="N28" s="74"/>
      <c r="O28" s="74"/>
      <c r="P28" s="74"/>
      <c r="Q28" s="74"/>
      <c r="R28" s="74"/>
      <c r="S28" s="74"/>
      <c r="T28" s="74"/>
      <c r="U28" s="74"/>
      <c r="V28" s="74"/>
    </row>
    <row r="29" spans="1:22" ht="46.35" customHeight="1">
      <c r="A29" s="127"/>
      <c r="B29" s="127"/>
      <c r="C29" s="127"/>
      <c r="D29" s="126"/>
      <c r="E29" s="126"/>
      <c r="F29" s="126"/>
      <c r="G29" s="126"/>
      <c r="H29" s="126"/>
      <c r="I29" s="126"/>
      <c r="J29" s="126"/>
      <c r="K29" s="127"/>
      <c r="L29" s="127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9.2" customHeight="1">
      <c r="A30" s="175" t="s">
        <v>1156</v>
      </c>
      <c r="B30" s="175"/>
      <c r="C30" s="175"/>
      <c r="D30" s="175"/>
      <c r="E30" s="176"/>
      <c r="F30" s="176"/>
      <c r="G30" s="176"/>
      <c r="H30" s="176"/>
      <c r="I30" s="176"/>
      <c r="J30" s="176"/>
      <c r="K30" s="171"/>
      <c r="L30" s="171"/>
      <c r="M30" s="74"/>
      <c r="N30" s="74"/>
      <c r="O30" s="74"/>
      <c r="P30" s="74"/>
      <c r="Q30" s="74"/>
      <c r="R30" s="74"/>
      <c r="S30" s="74"/>
      <c r="T30" s="74"/>
      <c r="U30" s="74"/>
      <c r="V30" s="74"/>
    </row>
    <row r="31" spans="1:22" ht="24" customHeight="1">
      <c r="A31" s="140" t="s">
        <v>1157</v>
      </c>
      <c r="B31" s="140" t="s">
        <v>1158</v>
      </c>
      <c r="C31" s="140" t="s">
        <v>1159</v>
      </c>
      <c r="D31" s="140" t="s">
        <v>1160</v>
      </c>
      <c r="E31" s="126"/>
      <c r="F31" s="126"/>
      <c r="G31" s="126"/>
      <c r="H31" s="126"/>
      <c r="I31" s="126"/>
      <c r="J31" s="126"/>
      <c r="K31" s="127"/>
      <c r="L31" s="127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28.8" customHeight="1">
      <c r="A32" s="128" t="s">
        <v>1161</v>
      </c>
      <c r="B32" s="130" t="s">
        <v>55</v>
      </c>
      <c r="C32" s="131" t="s">
        <v>1162</v>
      </c>
      <c r="D32" s="127" t="s">
        <v>1163</v>
      </c>
      <c r="E32" s="127"/>
      <c r="F32" s="127"/>
      <c r="G32" s="127"/>
      <c r="H32" s="127"/>
      <c r="I32" s="127"/>
      <c r="J32" s="127"/>
      <c r="K32" s="127"/>
      <c r="L32" s="127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28.8" customHeight="1">
      <c r="A33" s="128" t="s">
        <v>1164</v>
      </c>
      <c r="B33" s="130" t="s">
        <v>47</v>
      </c>
      <c r="C33" s="131" t="s">
        <v>1165</v>
      </c>
      <c r="D33" s="127" t="s">
        <v>1166</v>
      </c>
      <c r="E33" s="127"/>
      <c r="F33" s="127"/>
      <c r="G33" s="127"/>
      <c r="H33" s="127"/>
      <c r="I33" s="127"/>
      <c r="J33" s="127"/>
      <c r="K33" s="127"/>
      <c r="L33" s="127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28.8" customHeight="1">
      <c r="A34" s="128" t="s">
        <v>1167</v>
      </c>
      <c r="B34" s="130" t="s">
        <v>47</v>
      </c>
      <c r="C34" s="131" t="s">
        <v>1168</v>
      </c>
      <c r="D34" s="127" t="s">
        <v>1169</v>
      </c>
      <c r="E34" s="127"/>
      <c r="F34" s="127"/>
      <c r="G34" s="127"/>
      <c r="H34" s="127"/>
      <c r="I34" s="127"/>
      <c r="J34" s="127"/>
      <c r="K34" s="127"/>
      <c r="L34" s="127"/>
      <c r="M34" s="74"/>
      <c r="N34" s="74"/>
      <c r="O34" s="74"/>
      <c r="P34" s="74"/>
      <c r="Q34" s="74"/>
      <c r="R34" s="74"/>
      <c r="S34" s="74"/>
      <c r="T34" s="74"/>
      <c r="U34" s="74"/>
      <c r="V34" s="74"/>
    </row>
    <row r="35" spans="1:22" ht="28.8" customHeight="1">
      <c r="A35" s="128" t="s">
        <v>1170</v>
      </c>
      <c r="B35" s="130" t="s">
        <v>55</v>
      </c>
      <c r="C35" s="131" t="s">
        <v>1171</v>
      </c>
      <c r="D35" s="127" t="s">
        <v>1172</v>
      </c>
      <c r="E35" s="127"/>
      <c r="F35" s="127"/>
      <c r="G35" s="127"/>
      <c r="H35" s="127"/>
      <c r="I35" s="127"/>
      <c r="J35" s="127"/>
      <c r="K35" s="127"/>
      <c r="L35" s="127"/>
      <c r="M35" s="74"/>
      <c r="N35" s="74"/>
      <c r="O35" s="74"/>
      <c r="P35" s="74"/>
      <c r="Q35" s="74"/>
      <c r="R35" s="74"/>
      <c r="S35" s="74"/>
      <c r="T35" s="74"/>
      <c r="U35" s="74"/>
      <c r="V35" s="74"/>
    </row>
    <row r="36" spans="1:22" ht="28.8" customHeight="1">
      <c r="A36" s="128" t="s">
        <v>1173</v>
      </c>
      <c r="B36" s="130" t="s">
        <v>47</v>
      </c>
      <c r="C36" s="131" t="s">
        <v>1174</v>
      </c>
      <c r="D36" s="127" t="s">
        <v>1175</v>
      </c>
      <c r="E36" s="127"/>
      <c r="F36" s="127"/>
      <c r="G36" s="127"/>
      <c r="H36" s="127"/>
      <c r="I36" s="127"/>
      <c r="J36" s="127"/>
      <c r="K36" s="127"/>
      <c r="L36" s="127"/>
      <c r="M36" s="74"/>
      <c r="N36" s="74"/>
      <c r="O36" s="74"/>
      <c r="P36" s="74"/>
      <c r="Q36" s="74"/>
      <c r="R36" s="74"/>
      <c r="S36" s="74"/>
      <c r="T36" s="74"/>
      <c r="U36" s="74"/>
      <c r="V36" s="74"/>
    </row>
    <row r="37" spans="1:22" ht="28.8" customHeight="1">
      <c r="A37" s="128" t="s">
        <v>1176</v>
      </c>
      <c r="B37" s="130" t="s">
        <v>47</v>
      </c>
      <c r="C37" s="131" t="s">
        <v>1177</v>
      </c>
      <c r="D37" s="127" t="s">
        <v>1178</v>
      </c>
      <c r="E37" s="127"/>
      <c r="F37" s="127"/>
      <c r="G37" s="127"/>
      <c r="H37" s="127"/>
      <c r="I37" s="127"/>
      <c r="J37" s="127"/>
      <c r="K37" s="127"/>
      <c r="L37" s="127"/>
      <c r="M37" s="74"/>
      <c r="N37" s="74"/>
      <c r="O37" s="74"/>
      <c r="P37" s="74"/>
      <c r="Q37" s="74"/>
      <c r="R37" s="74"/>
      <c r="S37" s="74"/>
      <c r="T37" s="74"/>
      <c r="U37" s="74"/>
      <c r="V37" s="74"/>
    </row>
    <row r="38" spans="1:22" ht="28.8" customHeight="1">
      <c r="A38" s="128" t="s">
        <v>1179</v>
      </c>
      <c r="B38" s="130" t="s">
        <v>47</v>
      </c>
      <c r="C38" s="131" t="s">
        <v>1180</v>
      </c>
      <c r="D38" s="127" t="s">
        <v>1181</v>
      </c>
      <c r="E38" s="127"/>
      <c r="F38" s="127"/>
      <c r="G38" s="127"/>
      <c r="H38" s="127"/>
      <c r="I38" s="127"/>
      <c r="J38" s="127"/>
      <c r="K38" s="127"/>
      <c r="L38" s="127"/>
      <c r="M38" s="74"/>
      <c r="N38" s="74"/>
      <c r="O38" s="74"/>
      <c r="P38" s="74"/>
      <c r="Q38" s="74"/>
      <c r="R38" s="74"/>
      <c r="S38" s="74"/>
      <c r="T38" s="74"/>
      <c r="U38" s="74"/>
      <c r="V38" s="74"/>
    </row>
    <row r="39" spans="1:22" ht="28.8" customHeight="1">
      <c r="A39" s="128" t="s">
        <v>1182</v>
      </c>
      <c r="B39" s="130" t="s">
        <v>47</v>
      </c>
      <c r="C39" s="131" t="s">
        <v>1183</v>
      </c>
      <c r="D39" s="127" t="s">
        <v>1184</v>
      </c>
      <c r="E39" s="127"/>
      <c r="F39" s="127"/>
      <c r="G39" s="127"/>
      <c r="H39" s="127"/>
      <c r="I39" s="127"/>
      <c r="J39" s="127"/>
      <c r="K39" s="127"/>
      <c r="L39" s="127"/>
      <c r="M39" s="74"/>
      <c r="N39" s="74"/>
      <c r="O39" s="74"/>
      <c r="P39" s="74"/>
      <c r="Q39" s="74"/>
      <c r="R39" s="74"/>
      <c r="S39" s="74"/>
      <c r="T39" s="74"/>
      <c r="U39" s="74"/>
      <c r="V39" s="74"/>
    </row>
    <row r="40" spans="1:22" ht="28.8" customHeight="1">
      <c r="A40" s="128" t="s">
        <v>1185</v>
      </c>
      <c r="B40" s="130" t="s">
        <v>47</v>
      </c>
      <c r="C40" s="131" t="s">
        <v>1186</v>
      </c>
      <c r="D40" s="127" t="s">
        <v>1187</v>
      </c>
      <c r="E40" s="127"/>
      <c r="F40" s="127"/>
      <c r="G40" s="127"/>
      <c r="H40" s="127"/>
      <c r="I40" s="127"/>
      <c r="J40" s="127"/>
      <c r="K40" s="127"/>
      <c r="L40" s="127"/>
      <c r="M40" s="74"/>
      <c r="N40" s="74"/>
      <c r="O40" s="74"/>
      <c r="P40" s="74"/>
      <c r="Q40" s="74"/>
      <c r="R40" s="74"/>
      <c r="S40" s="74"/>
      <c r="T40" s="74"/>
      <c r="U40" s="74"/>
      <c r="V40" s="74"/>
    </row>
    <row r="41" spans="1:22" ht="28.8" customHeight="1">
      <c r="A41" s="128" t="s">
        <v>976</v>
      </c>
      <c r="B41" s="130" t="s">
        <v>47</v>
      </c>
      <c r="C41" s="131" t="s">
        <v>1188</v>
      </c>
      <c r="D41" s="127" t="s">
        <v>1189</v>
      </c>
      <c r="E41" s="127"/>
      <c r="F41" s="127"/>
      <c r="G41" s="127"/>
      <c r="H41" s="127"/>
      <c r="I41" s="127"/>
      <c r="J41" s="127"/>
      <c r="K41" s="127"/>
      <c r="L41" s="127"/>
      <c r="M41" s="74"/>
      <c r="N41" s="74"/>
      <c r="O41" s="74"/>
      <c r="P41" s="74"/>
      <c r="Q41" s="74"/>
      <c r="R41" s="74"/>
      <c r="S41" s="74"/>
      <c r="T41" s="74"/>
      <c r="U41" s="74"/>
      <c r="V41" s="74"/>
    </row>
    <row r="42" spans="1:22" ht="28.8" customHeight="1">
      <c r="A42" s="128" t="s">
        <v>1190</v>
      </c>
      <c r="B42" s="130" t="s">
        <v>47</v>
      </c>
      <c r="C42" s="131" t="s">
        <v>1191</v>
      </c>
      <c r="D42" s="127" t="s">
        <v>1192</v>
      </c>
      <c r="E42" s="127"/>
      <c r="F42" s="127"/>
      <c r="G42" s="127"/>
      <c r="H42" s="127"/>
      <c r="I42" s="127"/>
      <c r="J42" s="127"/>
      <c r="K42" s="127"/>
      <c r="L42" s="127"/>
      <c r="M42" s="74"/>
      <c r="N42" s="74"/>
      <c r="O42" s="74"/>
      <c r="P42" s="74"/>
      <c r="Q42" s="74"/>
      <c r="R42" s="74"/>
      <c r="S42" s="74"/>
      <c r="T42" s="74"/>
      <c r="U42" s="74"/>
      <c r="V42" s="74"/>
    </row>
    <row r="43" spans="1:22" ht="28.8" customHeight="1">
      <c r="A43" s="129" t="s">
        <v>1193</v>
      </c>
      <c r="B43" s="130" t="s">
        <v>55</v>
      </c>
      <c r="C43" s="131" t="s">
        <v>1194</v>
      </c>
      <c r="D43" s="127" t="s">
        <v>1195</v>
      </c>
      <c r="E43" s="127"/>
      <c r="F43" s="127"/>
      <c r="G43" s="127"/>
      <c r="H43" s="127"/>
      <c r="I43" s="127"/>
      <c r="J43" s="127"/>
      <c r="K43" s="127"/>
      <c r="L43" s="127"/>
      <c r="M43" s="74"/>
      <c r="N43" s="74"/>
      <c r="O43" s="74"/>
      <c r="P43" s="74"/>
      <c r="Q43" s="74"/>
      <c r="R43" s="74"/>
      <c r="S43" s="74"/>
      <c r="T43" s="74"/>
      <c r="U43" s="74"/>
      <c r="V43" s="74"/>
    </row>
    <row r="44" spans="1:22" ht="28.8" customHeight="1">
      <c r="A44" s="129" t="s">
        <v>1196</v>
      </c>
      <c r="B44" s="130" t="s">
        <v>55</v>
      </c>
      <c r="C44" s="131" t="s">
        <v>1197</v>
      </c>
      <c r="D44" s="127" t="s">
        <v>1198</v>
      </c>
      <c r="E44" s="127"/>
      <c r="F44" s="127"/>
      <c r="G44" s="127"/>
      <c r="H44" s="127"/>
      <c r="I44" s="127"/>
      <c r="J44" s="127"/>
      <c r="K44" s="127"/>
      <c r="L44" s="127"/>
      <c r="M44" s="74"/>
      <c r="N44" s="74"/>
      <c r="O44" s="74"/>
      <c r="P44" s="74"/>
      <c r="Q44" s="74"/>
      <c r="R44" s="74"/>
      <c r="S44" s="74"/>
      <c r="T44" s="74"/>
      <c r="U44" s="74"/>
      <c r="V44" s="74"/>
    </row>
    <row r="45" spans="1:22" ht="27.15" customHeight="1">
      <c r="A45" s="132" t="s">
        <v>1199</v>
      </c>
      <c r="B45" s="133">
        <f>COUNTIF(B32:B44,"Sí")</f>
        <v>9</v>
      </c>
      <c r="C45" s="133" t="s">
        <v>1200</v>
      </c>
      <c r="D45" s="133" t="s">
        <v>1201</v>
      </c>
      <c r="E45" s="127"/>
      <c r="F45" s="127"/>
      <c r="G45" s="127"/>
      <c r="H45" s="127"/>
      <c r="I45" s="127"/>
      <c r="J45" s="127"/>
      <c r="K45" s="127"/>
      <c r="L45" s="127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ht="27.15" customHeight="1">
      <c r="A46" s="126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ht="19.2" customHeight="1">
      <c r="A47" s="176" t="s">
        <v>1202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74"/>
      <c r="N47" s="74"/>
      <c r="O47" s="74"/>
      <c r="P47" s="74"/>
      <c r="Q47" s="74"/>
      <c r="R47" s="74"/>
      <c r="S47" s="74"/>
      <c r="T47" s="74"/>
      <c r="U47" s="74"/>
      <c r="V47" s="74"/>
    </row>
    <row r="48" spans="1:22" ht="24" customHeight="1">
      <c r="A48" s="140" t="s">
        <v>1203</v>
      </c>
      <c r="B48" s="140" t="s">
        <v>1204</v>
      </c>
      <c r="C48" s="140" t="s">
        <v>1205</v>
      </c>
      <c r="D48" s="75"/>
      <c r="E48" s="127"/>
      <c r="F48" s="127"/>
      <c r="G48" s="127"/>
      <c r="H48" s="127"/>
      <c r="I48" s="127"/>
      <c r="J48" s="127"/>
      <c r="K48" s="127"/>
      <c r="L48" s="127"/>
      <c r="M48" s="74"/>
      <c r="N48" s="74"/>
      <c r="O48" s="74"/>
      <c r="P48" s="74"/>
      <c r="Q48" s="74"/>
      <c r="R48" s="74"/>
      <c r="S48" s="74"/>
      <c r="T48" s="74"/>
      <c r="U48" s="74"/>
      <c r="V48" s="74"/>
    </row>
    <row r="49" spans="1:22" ht="28.8" customHeight="1">
      <c r="A49" s="128" t="s">
        <v>1206</v>
      </c>
      <c r="B49" s="130" t="s">
        <v>47</v>
      </c>
      <c r="C49" s="131" t="s">
        <v>1207</v>
      </c>
      <c r="D49" s="75"/>
      <c r="E49" s="127"/>
      <c r="F49" s="127"/>
      <c r="G49" s="127"/>
      <c r="H49" s="127"/>
      <c r="I49" s="127"/>
      <c r="J49" s="127"/>
      <c r="K49" s="127"/>
      <c r="L49" s="127"/>
      <c r="M49" s="74"/>
      <c r="N49" s="74"/>
      <c r="O49" s="74"/>
      <c r="P49" s="74"/>
      <c r="Q49" s="74"/>
      <c r="R49" s="74"/>
      <c r="S49" s="74"/>
      <c r="T49" s="74"/>
      <c r="U49" s="74"/>
      <c r="V49" s="74"/>
    </row>
    <row r="50" spans="1:22" ht="28.8" customHeight="1">
      <c r="A50" s="135" t="s">
        <v>1208</v>
      </c>
      <c r="B50" s="136" t="s">
        <v>55</v>
      </c>
      <c r="C50" s="137" t="s">
        <v>1209</v>
      </c>
      <c r="D50" s="85"/>
      <c r="E50" s="134"/>
      <c r="F50" s="134"/>
      <c r="G50" s="134"/>
      <c r="H50" s="134"/>
      <c r="I50" s="134"/>
      <c r="J50" s="134"/>
      <c r="K50" s="134"/>
      <c r="L50" s="127"/>
      <c r="M50" s="74"/>
      <c r="N50" s="74"/>
      <c r="O50" s="74"/>
      <c r="P50" s="74"/>
      <c r="Q50" s="74"/>
      <c r="R50" s="74"/>
      <c r="S50" s="74"/>
      <c r="T50" s="74"/>
      <c r="U50" s="74"/>
      <c r="V50" s="74"/>
    </row>
    <row r="51" spans="1:22" ht="28.8" customHeight="1">
      <c r="A51" s="135" t="s">
        <v>1210</v>
      </c>
      <c r="B51" s="136" t="s">
        <v>47</v>
      </c>
      <c r="C51" s="137" t="s">
        <v>1211</v>
      </c>
      <c r="D51" s="85"/>
      <c r="E51" s="134"/>
      <c r="F51" s="134"/>
      <c r="G51" s="134"/>
      <c r="H51" s="134"/>
      <c r="I51" s="134"/>
      <c r="J51" s="134"/>
      <c r="K51" s="134"/>
      <c r="L51" s="127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ht="28.8" customHeight="1">
      <c r="A52" s="128" t="s">
        <v>1212</v>
      </c>
      <c r="B52" s="130" t="s">
        <v>55</v>
      </c>
      <c r="C52" s="131" t="s">
        <v>1213</v>
      </c>
      <c r="D52" s="75"/>
      <c r="E52" s="127"/>
      <c r="F52" s="127"/>
      <c r="G52" s="127"/>
      <c r="H52" s="127"/>
      <c r="I52" s="127"/>
      <c r="J52" s="127"/>
      <c r="K52" s="127"/>
      <c r="L52" s="127"/>
      <c r="M52" s="74"/>
      <c r="N52" s="74"/>
      <c r="O52" s="74"/>
      <c r="P52" s="74"/>
      <c r="Q52" s="74"/>
      <c r="R52" s="74"/>
      <c r="S52" s="74"/>
      <c r="T52" s="74"/>
      <c r="U52" s="74"/>
      <c r="V52" s="74"/>
    </row>
    <row r="53" spans="1:22" ht="28.8" customHeight="1">
      <c r="A53" s="128" t="s">
        <v>827</v>
      </c>
      <c r="B53" s="130" t="s">
        <v>47</v>
      </c>
      <c r="C53" s="131" t="s">
        <v>1214</v>
      </c>
      <c r="D53" s="75"/>
      <c r="E53" s="127"/>
      <c r="F53" s="127"/>
      <c r="G53" s="127"/>
      <c r="H53" s="127"/>
      <c r="I53" s="127"/>
      <c r="J53" s="127"/>
      <c r="K53" s="127"/>
      <c r="L53" s="127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ht="28.8" customHeight="1">
      <c r="A54" s="128" t="s">
        <v>1215</v>
      </c>
      <c r="B54" s="130" t="s">
        <v>47</v>
      </c>
      <c r="C54" s="131" t="s">
        <v>1216</v>
      </c>
      <c r="D54" s="75"/>
      <c r="E54" s="127"/>
      <c r="F54" s="127"/>
      <c r="G54" s="127"/>
      <c r="H54" s="127"/>
      <c r="I54" s="127"/>
      <c r="J54" s="127"/>
      <c r="K54" s="127"/>
      <c r="L54" s="127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ht="28.8" customHeight="1">
      <c r="A55" s="128" t="s">
        <v>1217</v>
      </c>
      <c r="B55" s="130" t="s">
        <v>55</v>
      </c>
      <c r="C55" s="131" t="s">
        <v>1218</v>
      </c>
      <c r="D55" s="75"/>
      <c r="E55" s="127"/>
      <c r="F55" s="127"/>
      <c r="G55" s="127"/>
      <c r="H55" s="127"/>
      <c r="I55" s="127"/>
      <c r="J55" s="127"/>
      <c r="K55" s="127"/>
      <c r="L55" s="127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ht="28.8" customHeight="1">
      <c r="A56" s="128" t="s">
        <v>1219</v>
      </c>
      <c r="B56" s="130" t="s">
        <v>55</v>
      </c>
      <c r="C56" s="131" t="s">
        <v>1220</v>
      </c>
      <c r="D56" s="75"/>
      <c r="E56" s="127"/>
      <c r="F56" s="127"/>
      <c r="G56" s="127"/>
      <c r="H56" s="127"/>
      <c r="I56" s="127"/>
      <c r="J56" s="127"/>
      <c r="K56" s="127"/>
      <c r="L56" s="127"/>
      <c r="M56" s="74"/>
      <c r="N56" s="74"/>
      <c r="O56" s="74"/>
      <c r="P56" s="74"/>
      <c r="Q56" s="74"/>
      <c r="R56" s="74"/>
      <c r="S56" s="74"/>
      <c r="T56" s="74"/>
      <c r="U56" s="74"/>
      <c r="V56" s="74"/>
    </row>
    <row r="57" spans="1:22" ht="28.8" customHeight="1">
      <c r="A57" s="128" t="s">
        <v>1221</v>
      </c>
      <c r="B57" s="130" t="s">
        <v>55</v>
      </c>
      <c r="C57" s="131" t="s">
        <v>1222</v>
      </c>
      <c r="D57" s="75"/>
      <c r="E57" s="127"/>
      <c r="F57" s="127"/>
      <c r="G57" s="127"/>
      <c r="H57" s="127"/>
      <c r="I57" s="127"/>
      <c r="J57" s="127"/>
      <c r="K57" s="127"/>
      <c r="L57" s="127"/>
      <c r="M57" s="74"/>
      <c r="N57" s="74"/>
      <c r="O57" s="74"/>
      <c r="P57" s="74"/>
      <c r="Q57" s="74"/>
      <c r="R57" s="74"/>
      <c r="S57" s="74"/>
      <c r="T57" s="74"/>
      <c r="U57" s="74"/>
      <c r="V57" s="74"/>
    </row>
    <row r="58" spans="1:22" ht="28.8" customHeight="1">
      <c r="A58" s="128" t="s">
        <v>1223</v>
      </c>
      <c r="B58" s="130" t="s">
        <v>47</v>
      </c>
      <c r="C58" s="131" t="s">
        <v>1224</v>
      </c>
      <c r="D58" s="75"/>
      <c r="E58" s="127"/>
      <c r="F58" s="127"/>
      <c r="G58" s="127"/>
      <c r="H58" s="127"/>
      <c r="I58" s="127"/>
      <c r="J58" s="127"/>
      <c r="K58" s="127"/>
      <c r="L58" s="127"/>
      <c r="M58" s="74"/>
      <c r="N58" s="74"/>
      <c r="O58" s="74"/>
      <c r="P58" s="74"/>
      <c r="Q58" s="74"/>
      <c r="R58" s="74"/>
      <c r="S58" s="74"/>
      <c r="T58" s="74"/>
      <c r="U58" s="74"/>
      <c r="V58" s="74"/>
    </row>
    <row r="59" spans="1:22" ht="28.8" customHeight="1">
      <c r="A59" s="128" t="s">
        <v>1225</v>
      </c>
      <c r="B59" s="130" t="s">
        <v>47</v>
      </c>
      <c r="C59" s="131" t="s">
        <v>1226</v>
      </c>
      <c r="D59" s="75"/>
      <c r="E59" s="127"/>
      <c r="F59" s="127"/>
      <c r="G59" s="127"/>
      <c r="H59" s="127"/>
      <c r="I59" s="127"/>
      <c r="J59" s="127"/>
      <c r="K59" s="127"/>
      <c r="L59" s="127"/>
      <c r="M59" s="74"/>
      <c r="N59" s="74"/>
      <c r="O59" s="74"/>
      <c r="P59" s="74"/>
      <c r="Q59" s="74"/>
      <c r="R59" s="74"/>
      <c r="S59" s="74"/>
      <c r="T59" s="74"/>
      <c r="U59" s="74"/>
      <c r="V59" s="74"/>
    </row>
    <row r="60" spans="1:22" ht="28.8" customHeight="1">
      <c r="A60" s="128" t="s">
        <v>1227</v>
      </c>
      <c r="B60" s="130" t="s">
        <v>47</v>
      </c>
      <c r="C60" s="131" t="s">
        <v>1228</v>
      </c>
      <c r="D60" s="75"/>
      <c r="E60" s="127"/>
      <c r="F60" s="127"/>
      <c r="G60" s="127"/>
      <c r="H60" s="127"/>
      <c r="I60" s="127"/>
      <c r="J60" s="127"/>
      <c r="K60" s="127"/>
      <c r="L60" s="127"/>
      <c r="M60" s="74"/>
      <c r="N60" s="74"/>
      <c r="O60" s="74"/>
      <c r="P60" s="74"/>
      <c r="Q60" s="74"/>
      <c r="R60" s="74"/>
      <c r="S60" s="74"/>
      <c r="T60" s="74"/>
      <c r="U60" s="74"/>
      <c r="V60" s="74"/>
    </row>
    <row r="61" spans="1:22" ht="14.4">
      <c r="A61" s="133" t="s">
        <v>1229</v>
      </c>
      <c r="B61" s="133">
        <f>COUNTIF(B49:B60,"Sí")</f>
        <v>7</v>
      </c>
      <c r="C61" s="133" t="s">
        <v>1230</v>
      </c>
      <c r="D61" s="75"/>
      <c r="E61" s="127"/>
      <c r="F61" s="127"/>
      <c r="G61" s="127"/>
      <c r="H61" s="127"/>
      <c r="I61" s="127"/>
      <c r="J61" s="127"/>
      <c r="K61" s="127"/>
      <c r="L61" s="127"/>
      <c r="M61" s="74"/>
      <c r="N61" s="74"/>
      <c r="O61" s="74"/>
      <c r="P61" s="74"/>
      <c r="Q61" s="74"/>
      <c r="R61" s="74"/>
      <c r="S61" s="74"/>
      <c r="T61" s="74"/>
      <c r="U61" s="74"/>
      <c r="V61" s="74"/>
    </row>
    <row r="62" spans="1:22" ht="14.4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74"/>
      <c r="N62" s="74"/>
      <c r="O62" s="74"/>
      <c r="P62" s="74"/>
      <c r="Q62" s="74"/>
      <c r="R62" s="74"/>
      <c r="S62" s="74"/>
      <c r="T62" s="74"/>
      <c r="U62" s="74"/>
      <c r="V62" s="74"/>
    </row>
    <row r="63" spans="1:22" ht="19.2" customHeight="1">
      <c r="A63" s="171" t="s">
        <v>1231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74"/>
      <c r="N63" s="74"/>
      <c r="O63" s="74"/>
      <c r="P63" s="74"/>
      <c r="Q63" s="74"/>
      <c r="R63" s="74"/>
      <c r="S63" s="74"/>
      <c r="T63" s="74"/>
      <c r="U63" s="74"/>
      <c r="V63" s="74"/>
    </row>
    <row r="64" spans="1:22" ht="24" customHeight="1">
      <c r="A64" s="140" t="s">
        <v>1232</v>
      </c>
      <c r="B64" s="140" t="s">
        <v>1233</v>
      </c>
      <c r="C64" s="140" t="s">
        <v>1234</v>
      </c>
      <c r="D64" s="140" t="s">
        <v>1159</v>
      </c>
      <c r="E64" s="127"/>
      <c r="F64" s="127"/>
      <c r="G64" s="127"/>
      <c r="H64" s="127"/>
      <c r="I64" s="127"/>
      <c r="J64" s="127"/>
      <c r="K64" s="127"/>
      <c r="L64" s="127"/>
      <c r="M64" s="74"/>
      <c r="N64" s="74"/>
      <c r="O64" s="74"/>
      <c r="P64" s="74"/>
      <c r="Q64" s="74"/>
      <c r="R64" s="74"/>
      <c r="S64" s="74"/>
      <c r="T64" s="74"/>
      <c r="U64" s="74"/>
      <c r="V64" s="74"/>
    </row>
    <row r="65" spans="1:22" ht="28.8" customHeight="1">
      <c r="A65" s="128" t="s">
        <v>1235</v>
      </c>
      <c r="B65" s="130" t="s">
        <v>55</v>
      </c>
      <c r="C65" s="130"/>
      <c r="D65" s="131" t="s">
        <v>1236</v>
      </c>
      <c r="E65" s="127"/>
      <c r="F65" s="127"/>
      <c r="G65" s="127"/>
      <c r="H65" s="127"/>
      <c r="I65" s="127"/>
      <c r="J65" s="127"/>
      <c r="K65" s="127"/>
      <c r="L65" s="127"/>
      <c r="M65" s="74"/>
      <c r="N65" s="74"/>
      <c r="O65" s="74"/>
      <c r="P65" s="74"/>
      <c r="Q65" s="74"/>
      <c r="R65" s="74"/>
      <c r="S65" s="74"/>
      <c r="T65" s="74"/>
      <c r="U65" s="74"/>
      <c r="V65" s="74"/>
    </row>
    <row r="66" spans="1:22" ht="28.8" customHeight="1">
      <c r="A66" s="128" t="s">
        <v>1237</v>
      </c>
      <c r="B66" s="130" t="s">
        <v>55</v>
      </c>
      <c r="C66" s="130"/>
      <c r="D66" s="131" t="s">
        <v>1238</v>
      </c>
      <c r="E66" s="127"/>
      <c r="F66" s="127"/>
      <c r="G66" s="127"/>
      <c r="H66" s="127"/>
      <c r="I66" s="127"/>
      <c r="J66" s="127"/>
      <c r="K66" s="127"/>
      <c r="L66" s="127"/>
      <c r="M66" s="74"/>
      <c r="N66" s="74"/>
      <c r="O66" s="74"/>
      <c r="P66" s="74"/>
      <c r="Q66" s="74"/>
      <c r="R66" s="74"/>
      <c r="S66" s="74"/>
      <c r="T66" s="74"/>
      <c r="U66" s="74"/>
      <c r="V66" s="74"/>
    </row>
    <row r="67" spans="1:22" ht="28.8" customHeight="1">
      <c r="A67" s="128" t="s">
        <v>1239</v>
      </c>
      <c r="B67" s="130" t="s">
        <v>55</v>
      </c>
      <c r="C67" s="130"/>
      <c r="D67" s="131" t="s">
        <v>1240</v>
      </c>
      <c r="E67" s="127"/>
      <c r="F67" s="127"/>
      <c r="G67" s="127"/>
      <c r="H67" s="127"/>
      <c r="I67" s="127"/>
      <c r="J67" s="127"/>
      <c r="K67" s="127"/>
      <c r="L67" s="127"/>
      <c r="M67" s="74"/>
      <c r="N67" s="74"/>
      <c r="O67" s="74"/>
      <c r="P67" s="74"/>
      <c r="Q67" s="74"/>
      <c r="R67" s="74"/>
      <c r="S67" s="74"/>
      <c r="T67" s="74"/>
      <c r="U67" s="74"/>
      <c r="V67" s="74"/>
    </row>
    <row r="68" spans="1:22" ht="28.8" customHeight="1">
      <c r="A68" s="128" t="s">
        <v>1241</v>
      </c>
      <c r="B68" s="130" t="s">
        <v>47</v>
      </c>
      <c r="C68" s="130"/>
      <c r="D68" s="131" t="s">
        <v>1242</v>
      </c>
      <c r="E68" s="127"/>
      <c r="F68" s="127"/>
      <c r="G68" s="127"/>
      <c r="H68" s="127"/>
      <c r="I68" s="127"/>
      <c r="J68" s="127"/>
      <c r="K68" s="127"/>
      <c r="L68" s="127"/>
      <c r="M68" s="74"/>
      <c r="N68" s="74"/>
      <c r="O68" s="74"/>
      <c r="P68" s="74"/>
      <c r="Q68" s="74"/>
      <c r="R68" s="74"/>
      <c r="S68" s="74"/>
      <c r="T68" s="74"/>
      <c r="U68" s="74"/>
      <c r="V68" s="74"/>
    </row>
    <row r="69" spans="1:22" ht="28.8" customHeight="1">
      <c r="A69" s="128" t="s">
        <v>1243</v>
      </c>
      <c r="B69" s="130" t="s">
        <v>47</v>
      </c>
      <c r="C69" s="130"/>
      <c r="D69" s="131" t="s">
        <v>1244</v>
      </c>
      <c r="E69" s="127"/>
      <c r="F69" s="127"/>
      <c r="G69" s="127"/>
      <c r="H69" s="127"/>
      <c r="I69" s="127"/>
      <c r="J69" s="127"/>
      <c r="K69" s="127"/>
      <c r="L69" s="127"/>
      <c r="M69" s="74"/>
      <c r="N69" s="74"/>
      <c r="O69" s="74"/>
      <c r="P69" s="74"/>
      <c r="Q69" s="74"/>
      <c r="R69" s="74"/>
      <c r="S69" s="74"/>
      <c r="T69" s="74"/>
      <c r="U69" s="74"/>
      <c r="V69" s="74"/>
    </row>
    <row r="70" spans="1:22" ht="28.8" customHeight="1">
      <c r="A70" s="128" t="s">
        <v>1245</v>
      </c>
      <c r="B70" s="130" t="s">
        <v>47</v>
      </c>
      <c r="C70" s="130"/>
      <c r="D70" s="131" t="s">
        <v>1246</v>
      </c>
      <c r="E70" s="127"/>
      <c r="F70" s="127"/>
      <c r="G70" s="127"/>
      <c r="H70" s="127"/>
      <c r="I70" s="127"/>
      <c r="J70" s="127"/>
      <c r="K70" s="127"/>
      <c r="L70" s="127"/>
      <c r="M70" s="74"/>
      <c r="N70" s="74"/>
      <c r="O70" s="74"/>
      <c r="P70" s="74"/>
      <c r="Q70" s="74"/>
      <c r="R70" s="74"/>
      <c r="S70" s="74"/>
      <c r="T70" s="74"/>
      <c r="U70" s="74"/>
      <c r="V70" s="74"/>
    </row>
    <row r="71" spans="1:22" ht="28.8" customHeight="1">
      <c r="A71" s="128" t="s">
        <v>1247</v>
      </c>
      <c r="B71" s="130" t="s">
        <v>47</v>
      </c>
      <c r="C71" s="130"/>
      <c r="D71" s="131" t="s">
        <v>1248</v>
      </c>
      <c r="E71" s="127"/>
      <c r="F71" s="127"/>
      <c r="G71" s="127"/>
      <c r="H71" s="127"/>
      <c r="I71" s="127"/>
      <c r="J71" s="127"/>
      <c r="K71" s="127"/>
      <c r="L71" s="127"/>
      <c r="M71" s="74"/>
      <c r="N71" s="74"/>
      <c r="O71" s="74"/>
      <c r="P71" s="74"/>
      <c r="Q71" s="74"/>
      <c r="R71" s="74"/>
      <c r="S71" s="74"/>
      <c r="T71" s="74"/>
      <c r="U71" s="74"/>
      <c r="V71" s="74"/>
    </row>
    <row r="72" spans="1:22" ht="28.8" customHeight="1">
      <c r="A72" s="128" t="s">
        <v>1249</v>
      </c>
      <c r="B72" s="130" t="s">
        <v>55</v>
      </c>
      <c r="C72" s="130"/>
      <c r="D72" s="131" t="s">
        <v>1250</v>
      </c>
      <c r="E72" s="127"/>
      <c r="F72" s="127"/>
      <c r="G72" s="127"/>
      <c r="H72" s="127"/>
      <c r="I72" s="127"/>
      <c r="J72" s="127"/>
      <c r="K72" s="127"/>
      <c r="L72" s="127"/>
      <c r="M72" s="74"/>
      <c r="N72" s="74"/>
      <c r="O72" s="74"/>
      <c r="P72" s="74"/>
      <c r="Q72" s="74"/>
      <c r="R72" s="74"/>
      <c r="S72" s="74"/>
      <c r="T72" s="74"/>
      <c r="U72" s="74"/>
      <c r="V72" s="74"/>
    </row>
    <row r="73" spans="1:22" ht="28.8" customHeight="1">
      <c r="A73" s="128" t="s">
        <v>1251</v>
      </c>
      <c r="B73" s="130" t="s">
        <v>47</v>
      </c>
      <c r="C73" s="130"/>
      <c r="D73" s="131" t="s">
        <v>1252</v>
      </c>
      <c r="E73" s="127"/>
      <c r="F73" s="127"/>
      <c r="G73" s="127"/>
      <c r="H73" s="127"/>
      <c r="I73" s="127"/>
      <c r="J73" s="127"/>
      <c r="K73" s="127"/>
      <c r="L73" s="127"/>
      <c r="M73" s="74"/>
      <c r="N73" s="74"/>
      <c r="O73" s="74"/>
      <c r="P73" s="74"/>
      <c r="Q73" s="74"/>
      <c r="R73" s="74"/>
      <c r="S73" s="74"/>
      <c r="T73" s="74"/>
      <c r="U73" s="74"/>
      <c r="V73" s="74"/>
    </row>
    <row r="74" spans="1:22" ht="28.8" customHeight="1">
      <c r="A74" s="128" t="s">
        <v>1253</v>
      </c>
      <c r="B74" s="130" t="s">
        <v>47</v>
      </c>
      <c r="C74" s="130"/>
      <c r="D74" s="131" t="s">
        <v>1254</v>
      </c>
      <c r="E74" s="127"/>
      <c r="F74" s="127"/>
      <c r="G74" s="127"/>
      <c r="H74" s="127"/>
      <c r="I74" s="127"/>
      <c r="J74" s="127"/>
      <c r="K74" s="127"/>
      <c r="L74" s="127"/>
      <c r="M74" s="74"/>
      <c r="N74" s="74"/>
      <c r="O74" s="74"/>
      <c r="P74" s="74"/>
      <c r="Q74" s="74"/>
      <c r="R74" s="74"/>
      <c r="S74" s="74"/>
      <c r="T74" s="74"/>
      <c r="U74" s="74"/>
      <c r="V74" s="74"/>
    </row>
    <row r="75" spans="1:22" ht="28.8" customHeight="1">
      <c r="A75" s="128" t="s">
        <v>1255</v>
      </c>
      <c r="B75" s="130" t="s">
        <v>47</v>
      </c>
      <c r="C75" s="130"/>
      <c r="D75" s="131" t="s">
        <v>1256</v>
      </c>
      <c r="E75" s="127"/>
      <c r="F75" s="127"/>
      <c r="G75" s="127"/>
      <c r="H75" s="127"/>
      <c r="I75" s="127"/>
      <c r="J75" s="127"/>
      <c r="K75" s="127"/>
      <c r="L75" s="127"/>
      <c r="M75" s="74"/>
      <c r="N75" s="74"/>
      <c r="O75" s="74"/>
      <c r="P75" s="74"/>
      <c r="Q75" s="74"/>
      <c r="R75" s="74"/>
      <c r="S75" s="74"/>
      <c r="T75" s="74"/>
      <c r="U75" s="74"/>
      <c r="V75" s="74"/>
    </row>
    <row r="76" spans="1:22" ht="28.8" customHeight="1">
      <c r="A76" s="128" t="s">
        <v>1257</v>
      </c>
      <c r="B76" s="130" t="s">
        <v>1605</v>
      </c>
      <c r="C76" s="130"/>
      <c r="D76" s="131" t="s">
        <v>1258</v>
      </c>
      <c r="E76" s="127"/>
      <c r="F76" s="127"/>
      <c r="G76" s="127"/>
      <c r="H76" s="127"/>
      <c r="I76" s="127"/>
      <c r="J76" s="127"/>
      <c r="K76" s="127"/>
      <c r="L76" s="127"/>
      <c r="M76" s="74"/>
      <c r="N76" s="74"/>
      <c r="O76" s="74"/>
      <c r="P76" s="74"/>
      <c r="Q76" s="74"/>
      <c r="R76" s="74"/>
      <c r="S76" s="74"/>
      <c r="T76" s="74"/>
      <c r="U76" s="74"/>
      <c r="V76" s="74"/>
    </row>
    <row r="77" spans="1:22" ht="24">
      <c r="A77" s="133" t="s">
        <v>1259</v>
      </c>
      <c r="B77" s="133">
        <f>COUNTIF(B65:B76,"Sí")</f>
        <v>7</v>
      </c>
      <c r="C77" s="133">
        <f>COUNTIF(C65:C76,"Sí")</f>
        <v>0</v>
      </c>
      <c r="D77" s="133" t="s">
        <v>1260</v>
      </c>
      <c r="E77" s="127"/>
      <c r="F77" s="127"/>
      <c r="G77" s="127"/>
      <c r="H77" s="127"/>
      <c r="I77" s="127"/>
      <c r="J77" s="127"/>
      <c r="K77" s="127"/>
      <c r="L77" s="127"/>
      <c r="M77" s="74"/>
      <c r="N77" s="74"/>
      <c r="O77" s="74"/>
      <c r="P77" s="74"/>
      <c r="Q77" s="74"/>
      <c r="R77" s="74"/>
      <c r="S77" s="74"/>
      <c r="T77" s="74"/>
      <c r="U77" s="74"/>
      <c r="V77" s="74"/>
    </row>
    <row r="78" spans="1:22" ht="14.4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74"/>
      <c r="N78" s="74"/>
      <c r="O78" s="74"/>
      <c r="P78" s="74"/>
      <c r="Q78" s="74"/>
      <c r="R78" s="74"/>
      <c r="S78" s="74"/>
      <c r="T78" s="74"/>
      <c r="U78" s="74"/>
      <c r="V78" s="74"/>
    </row>
    <row r="79" spans="1:22" ht="19.2" customHeight="1">
      <c r="A79" s="171" t="s">
        <v>1261</v>
      </c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74"/>
      <c r="N79" s="74"/>
      <c r="O79" s="74"/>
      <c r="P79" s="74"/>
      <c r="Q79" s="74"/>
      <c r="R79" s="74"/>
      <c r="S79" s="74"/>
      <c r="T79" s="74"/>
      <c r="U79" s="74"/>
      <c r="V79" s="74"/>
    </row>
    <row r="80" spans="1:22" ht="24" customHeight="1">
      <c r="A80" s="140" t="s">
        <v>1262</v>
      </c>
      <c r="B80" s="140" t="s">
        <v>1263</v>
      </c>
      <c r="C80" s="140" t="s">
        <v>1264</v>
      </c>
      <c r="D80" s="75"/>
      <c r="E80" s="127"/>
      <c r="F80" s="127"/>
      <c r="G80" s="127"/>
      <c r="H80" s="127"/>
      <c r="I80" s="127"/>
      <c r="J80" s="127"/>
      <c r="K80" s="127"/>
      <c r="L80" s="127"/>
      <c r="M80" s="74"/>
      <c r="N80" s="74"/>
      <c r="O80" s="74"/>
      <c r="P80" s="74"/>
      <c r="Q80" s="74"/>
      <c r="R80" s="74"/>
      <c r="S80" s="74"/>
      <c r="T80" s="74"/>
      <c r="U80" s="74"/>
      <c r="V80" s="74"/>
    </row>
    <row r="81" spans="1:22" ht="28.8" customHeight="1">
      <c r="A81" s="128" t="s">
        <v>1265</v>
      </c>
      <c r="B81" s="130" t="s">
        <v>47</v>
      </c>
      <c r="C81" s="131" t="s">
        <v>1266</v>
      </c>
      <c r="D81" s="75"/>
      <c r="E81" s="127"/>
      <c r="F81" s="127"/>
      <c r="G81" s="127"/>
      <c r="H81" s="127"/>
      <c r="I81" s="127"/>
      <c r="J81" s="127"/>
      <c r="K81" s="127"/>
      <c r="L81" s="127"/>
      <c r="M81" s="74"/>
      <c r="N81" s="74"/>
      <c r="O81" s="74"/>
      <c r="P81" s="74"/>
      <c r="Q81" s="74"/>
      <c r="R81" s="74"/>
      <c r="S81" s="74"/>
      <c r="T81" s="74"/>
      <c r="U81" s="74"/>
      <c r="V81" s="74"/>
    </row>
    <row r="82" spans="1:22" ht="28.8" customHeight="1">
      <c r="A82" s="128" t="s">
        <v>1267</v>
      </c>
      <c r="B82" s="130" t="s">
        <v>55</v>
      </c>
      <c r="C82" s="131" t="s">
        <v>1266</v>
      </c>
      <c r="D82" s="75"/>
      <c r="E82" s="127"/>
      <c r="F82" s="127"/>
      <c r="G82" s="127"/>
      <c r="H82" s="127"/>
      <c r="I82" s="127"/>
      <c r="J82" s="127"/>
      <c r="K82" s="127"/>
      <c r="L82" s="127"/>
      <c r="M82" s="74"/>
      <c r="N82" s="74"/>
      <c r="O82" s="74"/>
      <c r="P82" s="74"/>
      <c r="Q82" s="74"/>
      <c r="R82" s="74"/>
      <c r="S82" s="74"/>
      <c r="T82" s="74"/>
      <c r="U82" s="74"/>
      <c r="V82" s="74"/>
    </row>
    <row r="83" spans="1:22" ht="28.8" customHeight="1">
      <c r="A83" s="128" t="s">
        <v>1268</v>
      </c>
      <c r="B83" s="130" t="s">
        <v>55</v>
      </c>
      <c r="C83" s="131" t="s">
        <v>1266</v>
      </c>
      <c r="D83" s="75"/>
      <c r="E83" s="127"/>
      <c r="F83" s="127"/>
      <c r="G83" s="127"/>
      <c r="H83" s="127"/>
      <c r="I83" s="127"/>
      <c r="J83" s="127"/>
      <c r="K83" s="127"/>
      <c r="L83" s="127"/>
      <c r="M83" s="74"/>
      <c r="N83" s="74"/>
      <c r="O83" s="74"/>
      <c r="P83" s="74"/>
      <c r="Q83" s="74"/>
      <c r="R83" s="74"/>
      <c r="S83" s="74"/>
      <c r="T83" s="74"/>
      <c r="U83" s="74"/>
      <c r="V83" s="74"/>
    </row>
    <row r="84" spans="1:22" ht="28.8" customHeight="1">
      <c r="A84" s="128" t="s">
        <v>1269</v>
      </c>
      <c r="B84" s="130" t="s">
        <v>1605</v>
      </c>
      <c r="C84" s="131" t="s">
        <v>1266</v>
      </c>
      <c r="D84" s="75"/>
      <c r="E84" s="127"/>
      <c r="F84" s="127"/>
      <c r="G84" s="127"/>
      <c r="H84" s="127"/>
      <c r="I84" s="127"/>
      <c r="J84" s="127"/>
      <c r="K84" s="127"/>
      <c r="L84" s="127"/>
      <c r="M84" s="74"/>
      <c r="N84" s="74"/>
      <c r="O84" s="74"/>
      <c r="P84" s="74"/>
      <c r="Q84" s="74"/>
      <c r="R84" s="74"/>
      <c r="S84" s="74"/>
      <c r="T84" s="74"/>
      <c r="U84" s="74"/>
      <c r="V84" s="74"/>
    </row>
    <row r="85" spans="1:22" ht="28.8" customHeight="1">
      <c r="A85" s="128" t="s">
        <v>1270</v>
      </c>
      <c r="B85" s="130"/>
      <c r="C85" s="131" t="s">
        <v>1271</v>
      </c>
      <c r="D85" s="75"/>
      <c r="E85" s="127"/>
      <c r="F85" s="127"/>
      <c r="G85" s="127"/>
      <c r="H85" s="127"/>
      <c r="I85" s="127"/>
      <c r="J85" s="127"/>
      <c r="K85" s="127"/>
      <c r="L85" s="127"/>
      <c r="M85" s="74"/>
      <c r="N85" s="74"/>
      <c r="O85" s="74"/>
      <c r="P85" s="74"/>
      <c r="Q85" s="74"/>
      <c r="R85" s="74"/>
      <c r="S85" s="74"/>
      <c r="T85" s="74"/>
      <c r="U85" s="74"/>
      <c r="V85" s="74"/>
    </row>
    <row r="86" spans="1:22" ht="28.8" customHeight="1">
      <c r="A86" s="128" t="s">
        <v>1272</v>
      </c>
      <c r="B86" s="130" t="s">
        <v>1605</v>
      </c>
      <c r="C86" s="131" t="s">
        <v>1273</v>
      </c>
      <c r="D86" s="75"/>
      <c r="E86" s="127"/>
      <c r="F86" s="127"/>
      <c r="G86" s="127"/>
      <c r="H86" s="127"/>
      <c r="I86" s="127"/>
      <c r="J86" s="127"/>
      <c r="K86" s="127"/>
      <c r="L86" s="127"/>
      <c r="M86" s="74"/>
      <c r="N86" s="74"/>
      <c r="O86" s="74"/>
      <c r="P86" s="74"/>
      <c r="Q86" s="74"/>
      <c r="R86" s="74"/>
      <c r="S86" s="74"/>
      <c r="T86" s="74"/>
      <c r="U86" s="74"/>
      <c r="V86" s="74"/>
    </row>
    <row r="87" spans="1:22" ht="28.8" customHeight="1">
      <c r="A87" s="128" t="s">
        <v>1274</v>
      </c>
      <c r="B87" s="130" t="s">
        <v>55</v>
      </c>
      <c r="C87" s="131" t="s">
        <v>1275</v>
      </c>
      <c r="D87" s="75"/>
      <c r="E87" s="127"/>
      <c r="F87" s="127"/>
      <c r="G87" s="127"/>
      <c r="H87" s="127"/>
      <c r="I87" s="127"/>
      <c r="J87" s="127"/>
      <c r="K87" s="127"/>
      <c r="L87" s="127"/>
      <c r="M87" s="74"/>
      <c r="N87" s="74"/>
      <c r="O87" s="74"/>
      <c r="P87" s="74"/>
      <c r="Q87" s="74"/>
      <c r="R87" s="74"/>
      <c r="S87" s="74"/>
      <c r="T87" s="74"/>
      <c r="U87" s="74"/>
      <c r="V87" s="74"/>
    </row>
    <row r="88" spans="1:22" ht="28.8" customHeight="1">
      <c r="A88" s="128" t="s">
        <v>1276</v>
      </c>
      <c r="B88" s="130" t="s">
        <v>47</v>
      </c>
      <c r="C88" s="131" t="s">
        <v>1277</v>
      </c>
      <c r="D88" s="75"/>
      <c r="E88" s="127"/>
      <c r="F88" s="127"/>
      <c r="G88" s="127"/>
      <c r="H88" s="127"/>
      <c r="I88" s="127"/>
      <c r="J88" s="127"/>
      <c r="K88" s="127"/>
      <c r="L88" s="127"/>
      <c r="M88" s="74"/>
      <c r="N88" s="74"/>
      <c r="O88" s="74"/>
      <c r="P88" s="74"/>
      <c r="Q88" s="74"/>
      <c r="R88" s="74"/>
      <c r="S88" s="74"/>
      <c r="T88" s="74"/>
      <c r="U88" s="74"/>
      <c r="V88" s="74"/>
    </row>
    <row r="89" spans="1:22" ht="28.8" customHeight="1">
      <c r="A89" s="128" t="s">
        <v>1278</v>
      </c>
      <c r="B89" s="130" t="s">
        <v>1605</v>
      </c>
      <c r="C89" s="131" t="s">
        <v>1273</v>
      </c>
      <c r="D89" s="75"/>
      <c r="E89" s="127"/>
      <c r="F89" s="127"/>
      <c r="G89" s="127"/>
      <c r="H89" s="127"/>
      <c r="I89" s="127"/>
      <c r="J89" s="127"/>
      <c r="K89" s="127"/>
      <c r="L89" s="127"/>
      <c r="M89" s="74"/>
      <c r="N89" s="74"/>
      <c r="O89" s="74"/>
      <c r="P89" s="74"/>
      <c r="Q89" s="74"/>
      <c r="R89" s="74"/>
      <c r="S89" s="74"/>
      <c r="T89" s="74"/>
      <c r="U89" s="74"/>
      <c r="V89" s="74"/>
    </row>
    <row r="90" spans="1:22" ht="28.8" customHeight="1">
      <c r="A90" s="128" t="s">
        <v>847</v>
      </c>
      <c r="B90" s="130" t="s">
        <v>47</v>
      </c>
      <c r="C90" s="131" t="s">
        <v>1279</v>
      </c>
      <c r="D90" s="75"/>
      <c r="E90" s="127"/>
      <c r="F90" s="127"/>
      <c r="G90" s="127"/>
      <c r="H90" s="127"/>
      <c r="I90" s="127"/>
      <c r="J90" s="127"/>
      <c r="K90" s="127"/>
      <c r="L90" s="127"/>
      <c r="M90" s="74"/>
      <c r="N90" s="74"/>
      <c r="O90" s="74"/>
      <c r="P90" s="74"/>
      <c r="Q90" s="74"/>
      <c r="R90" s="74"/>
      <c r="S90" s="74"/>
      <c r="T90" s="74"/>
      <c r="U90" s="74"/>
      <c r="V90" s="74"/>
    </row>
    <row r="91" spans="1:22" ht="28.8" customHeight="1">
      <c r="A91" s="128" t="s">
        <v>1280</v>
      </c>
      <c r="B91" s="130" t="s">
        <v>47</v>
      </c>
      <c r="C91" s="131" t="s">
        <v>1279</v>
      </c>
      <c r="D91" s="75"/>
      <c r="E91" s="127"/>
      <c r="F91" s="127"/>
      <c r="G91" s="127"/>
      <c r="H91" s="127"/>
      <c r="I91" s="127"/>
      <c r="J91" s="127"/>
      <c r="K91" s="127"/>
      <c r="L91" s="127"/>
      <c r="M91" s="74"/>
      <c r="N91" s="74"/>
      <c r="O91" s="74"/>
      <c r="P91" s="74"/>
      <c r="Q91" s="74"/>
      <c r="R91" s="74"/>
      <c r="S91" s="74"/>
      <c r="T91" s="74"/>
      <c r="U91" s="74"/>
      <c r="V91" s="74"/>
    </row>
    <row r="92" spans="1:22" ht="28.8" customHeight="1">
      <c r="A92" s="128" t="s">
        <v>1281</v>
      </c>
      <c r="B92" s="130" t="s">
        <v>1605</v>
      </c>
      <c r="C92" s="131" t="s">
        <v>1282</v>
      </c>
      <c r="D92" s="75"/>
      <c r="E92" s="127"/>
      <c r="F92" s="127"/>
      <c r="G92" s="127"/>
      <c r="H92" s="127"/>
      <c r="I92" s="127"/>
      <c r="J92" s="127"/>
      <c r="K92" s="127"/>
      <c r="L92" s="127"/>
      <c r="M92" s="74"/>
      <c r="N92" s="74"/>
      <c r="O92" s="74"/>
      <c r="P92" s="74"/>
      <c r="Q92" s="74"/>
      <c r="R92" s="74"/>
      <c r="S92" s="74"/>
      <c r="T92" s="74"/>
      <c r="U92" s="74"/>
      <c r="V92" s="74"/>
    </row>
    <row r="93" spans="1:22" ht="24">
      <c r="A93" s="133" t="s">
        <v>1283</v>
      </c>
      <c r="B93" s="133">
        <f>COUNTIF(B81:B92,"Sí")</f>
        <v>4</v>
      </c>
      <c r="C93" s="133" t="s">
        <v>1284</v>
      </c>
      <c r="D93" s="75"/>
      <c r="E93" s="127"/>
      <c r="F93" s="127"/>
      <c r="G93" s="127"/>
      <c r="H93" s="127"/>
      <c r="I93" s="127"/>
      <c r="J93" s="127"/>
      <c r="K93" s="127"/>
      <c r="L93" s="127"/>
      <c r="M93" s="74"/>
      <c r="N93" s="74"/>
      <c r="O93" s="74"/>
      <c r="P93" s="74"/>
      <c r="Q93" s="74"/>
      <c r="R93" s="74"/>
      <c r="S93" s="74"/>
      <c r="T93" s="74"/>
      <c r="U93" s="74"/>
      <c r="V93" s="74"/>
    </row>
    <row r="94" spans="1:22" ht="14.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74"/>
      <c r="N94" s="74"/>
      <c r="O94" s="74"/>
      <c r="P94" s="74"/>
      <c r="Q94" s="74"/>
      <c r="R94" s="74"/>
      <c r="S94" s="74"/>
      <c r="T94" s="74"/>
      <c r="U94" s="74"/>
      <c r="V94" s="74"/>
    </row>
    <row r="95" spans="1:22" ht="19.2" customHeight="1">
      <c r="A95" s="171" t="s">
        <v>1285</v>
      </c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74"/>
      <c r="N95" s="74"/>
      <c r="O95" s="74"/>
      <c r="P95" s="74"/>
      <c r="Q95" s="74"/>
      <c r="R95" s="74"/>
      <c r="S95" s="74"/>
      <c r="T95" s="74"/>
      <c r="U95" s="74"/>
      <c r="V95" s="74"/>
    </row>
    <row r="96" spans="1:22" ht="24" customHeight="1">
      <c r="A96" s="140" t="s">
        <v>1286</v>
      </c>
      <c r="B96" s="140" t="s">
        <v>1158</v>
      </c>
      <c r="C96" s="140" t="s">
        <v>1287</v>
      </c>
      <c r="D96" s="75"/>
      <c r="E96" s="127"/>
      <c r="F96" s="127"/>
      <c r="G96" s="127"/>
      <c r="H96" s="127"/>
      <c r="I96" s="127"/>
      <c r="J96" s="127"/>
      <c r="K96" s="127"/>
      <c r="L96" s="127"/>
      <c r="M96" s="74"/>
      <c r="N96" s="74"/>
      <c r="O96" s="74"/>
      <c r="P96" s="74"/>
      <c r="Q96" s="74"/>
      <c r="R96" s="74"/>
      <c r="S96" s="74"/>
      <c r="T96" s="74"/>
      <c r="U96" s="74"/>
      <c r="V96" s="74"/>
    </row>
    <row r="97" spans="1:22" ht="28.8" customHeight="1">
      <c r="A97" s="128" t="s">
        <v>976</v>
      </c>
      <c r="B97" s="130" t="s">
        <v>47</v>
      </c>
      <c r="C97" s="131" t="s">
        <v>1288</v>
      </c>
      <c r="D97" s="75"/>
      <c r="E97" s="127"/>
      <c r="F97" s="127"/>
      <c r="G97" s="127"/>
      <c r="H97" s="127"/>
      <c r="I97" s="127"/>
      <c r="J97" s="127"/>
      <c r="K97" s="127"/>
      <c r="L97" s="127"/>
      <c r="M97" s="74"/>
      <c r="N97" s="74"/>
      <c r="O97" s="74"/>
      <c r="P97" s="74"/>
      <c r="Q97" s="74"/>
      <c r="R97" s="74"/>
      <c r="S97" s="74"/>
      <c r="T97" s="74"/>
      <c r="U97" s="74"/>
      <c r="V97" s="74"/>
    </row>
    <row r="98" spans="1:22" ht="28.8" customHeight="1">
      <c r="A98" s="128" t="s">
        <v>1289</v>
      </c>
      <c r="B98" s="130" t="s">
        <v>47</v>
      </c>
      <c r="C98" s="131" t="s">
        <v>1290</v>
      </c>
      <c r="D98" s="75"/>
      <c r="E98" s="127"/>
      <c r="F98" s="127"/>
      <c r="G98" s="127"/>
      <c r="H98" s="127"/>
      <c r="I98" s="127"/>
      <c r="J98" s="127"/>
      <c r="K98" s="127"/>
      <c r="L98" s="127"/>
      <c r="M98" s="74"/>
      <c r="N98" s="74"/>
      <c r="O98" s="74"/>
      <c r="P98" s="74"/>
      <c r="Q98" s="74"/>
      <c r="R98" s="74"/>
      <c r="S98" s="74"/>
      <c r="T98" s="74"/>
      <c r="U98" s="74"/>
      <c r="V98" s="74"/>
    </row>
    <row r="99" spans="1:22" ht="28.8" customHeight="1">
      <c r="A99" s="128" t="s">
        <v>1291</v>
      </c>
      <c r="B99" s="130" t="s">
        <v>55</v>
      </c>
      <c r="C99" s="131" t="s">
        <v>1292</v>
      </c>
      <c r="D99" s="75"/>
      <c r="E99" s="127"/>
      <c r="F99" s="127"/>
      <c r="G99" s="127"/>
      <c r="H99" s="127"/>
      <c r="I99" s="127"/>
      <c r="J99" s="127"/>
      <c r="K99" s="127"/>
      <c r="L99" s="127"/>
      <c r="M99" s="74"/>
      <c r="N99" s="74"/>
      <c r="O99" s="74"/>
      <c r="P99" s="74"/>
      <c r="Q99" s="74"/>
      <c r="R99" s="74"/>
      <c r="S99" s="74"/>
      <c r="T99" s="74"/>
      <c r="U99" s="74"/>
      <c r="V99" s="74"/>
    </row>
    <row r="100" spans="1:22" ht="28.8" customHeight="1">
      <c r="A100" s="128" t="s">
        <v>981</v>
      </c>
      <c r="B100" s="130" t="s">
        <v>55</v>
      </c>
      <c r="C100" s="131" t="s">
        <v>1293</v>
      </c>
      <c r="D100" s="75"/>
      <c r="E100" s="127"/>
      <c r="F100" s="127"/>
      <c r="G100" s="127"/>
      <c r="H100" s="127"/>
      <c r="I100" s="127"/>
      <c r="J100" s="127"/>
      <c r="K100" s="127"/>
      <c r="L100" s="127"/>
      <c r="M100" s="74"/>
      <c r="N100" s="74"/>
      <c r="O100" s="74"/>
      <c r="P100" s="74"/>
      <c r="Q100" s="74"/>
      <c r="R100" s="74"/>
      <c r="S100" s="74"/>
      <c r="T100" s="74"/>
      <c r="U100" s="74"/>
      <c r="V100" s="74"/>
    </row>
    <row r="101" spans="1:22" ht="28.8" customHeight="1">
      <c r="A101" s="128" t="s">
        <v>1294</v>
      </c>
      <c r="B101" s="130" t="s">
        <v>55</v>
      </c>
      <c r="C101" s="131" t="s">
        <v>1295</v>
      </c>
      <c r="D101" s="75"/>
      <c r="E101" s="127"/>
      <c r="F101" s="127"/>
      <c r="G101" s="127"/>
      <c r="H101" s="127"/>
      <c r="I101" s="127"/>
      <c r="J101" s="127"/>
      <c r="K101" s="127"/>
      <c r="L101" s="127"/>
      <c r="M101" s="74"/>
      <c r="N101" s="74"/>
      <c r="O101" s="74"/>
      <c r="P101" s="74"/>
      <c r="Q101" s="74"/>
      <c r="R101" s="74"/>
      <c r="S101" s="74"/>
      <c r="T101" s="74"/>
      <c r="U101" s="74"/>
      <c r="V101" s="74"/>
    </row>
    <row r="102" spans="1:22" ht="28.8" customHeight="1">
      <c r="A102" s="128" t="s">
        <v>1296</v>
      </c>
      <c r="B102" s="130" t="s">
        <v>55</v>
      </c>
      <c r="C102" s="131" t="s">
        <v>1297</v>
      </c>
      <c r="D102" s="75"/>
      <c r="E102" s="127"/>
      <c r="F102" s="127"/>
      <c r="G102" s="127"/>
      <c r="H102" s="127"/>
      <c r="I102" s="127"/>
      <c r="J102" s="127"/>
      <c r="K102" s="127"/>
      <c r="L102" s="127"/>
      <c r="M102" s="74"/>
      <c r="N102" s="74"/>
      <c r="O102" s="74"/>
      <c r="P102" s="74"/>
      <c r="Q102" s="74"/>
      <c r="R102" s="74"/>
      <c r="S102" s="74"/>
      <c r="T102" s="74"/>
      <c r="U102" s="74"/>
      <c r="V102" s="74"/>
    </row>
    <row r="103" spans="1:22" ht="14.4">
      <c r="A103" s="133" t="s">
        <v>1298</v>
      </c>
      <c r="B103" s="133">
        <f>COUNTIF(B97:B102,"Sí")</f>
        <v>2</v>
      </c>
      <c r="C103" s="133" t="s">
        <v>1230</v>
      </c>
      <c r="D103" s="75"/>
      <c r="E103" s="127"/>
      <c r="F103" s="127"/>
      <c r="G103" s="127"/>
      <c r="H103" s="127"/>
      <c r="I103" s="127"/>
      <c r="J103" s="127"/>
      <c r="K103" s="127"/>
      <c r="L103" s="127"/>
      <c r="M103" s="74"/>
      <c r="N103" s="74"/>
      <c r="O103" s="74"/>
      <c r="P103" s="74"/>
      <c r="Q103" s="74"/>
      <c r="R103" s="74"/>
      <c r="S103" s="74"/>
      <c r="T103" s="74"/>
      <c r="U103" s="74"/>
      <c r="V103" s="74"/>
    </row>
    <row r="104" spans="1:22" ht="14.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74"/>
      <c r="N104" s="74"/>
      <c r="O104" s="74"/>
      <c r="P104" s="74"/>
      <c r="Q104" s="74"/>
      <c r="R104" s="74"/>
      <c r="S104" s="74"/>
      <c r="T104" s="74"/>
      <c r="U104" s="74"/>
      <c r="V104" s="74"/>
    </row>
    <row r="105" spans="1:22" ht="19.2" customHeight="1">
      <c r="A105" s="171" t="s">
        <v>1299</v>
      </c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74"/>
      <c r="N105" s="74"/>
      <c r="O105" s="74"/>
      <c r="P105" s="74"/>
      <c r="Q105" s="74"/>
      <c r="R105" s="74"/>
      <c r="S105" s="74"/>
      <c r="T105" s="74"/>
      <c r="U105" s="74"/>
      <c r="V105" s="74"/>
    </row>
    <row r="106" spans="1:22" ht="24" customHeight="1">
      <c r="A106" s="140" t="s">
        <v>475</v>
      </c>
      <c r="B106" s="140" t="s">
        <v>1300</v>
      </c>
      <c r="C106" s="140" t="s">
        <v>1301</v>
      </c>
      <c r="D106" s="75"/>
      <c r="E106" s="127"/>
      <c r="F106" s="127"/>
      <c r="G106" s="127"/>
      <c r="H106" s="127"/>
      <c r="I106" s="127"/>
      <c r="J106" s="127"/>
      <c r="K106" s="127"/>
      <c r="L106" s="127"/>
      <c r="M106" s="74"/>
      <c r="N106" s="74"/>
      <c r="O106" s="74"/>
      <c r="P106" s="74"/>
      <c r="Q106" s="74"/>
      <c r="R106" s="74"/>
      <c r="S106" s="74"/>
      <c r="T106" s="74"/>
      <c r="U106" s="74"/>
      <c r="V106" s="74"/>
    </row>
    <row r="107" spans="1:22" ht="28.8" customHeight="1">
      <c r="A107" s="128" t="s">
        <v>1302</v>
      </c>
      <c r="B107" s="130" t="s">
        <v>1605</v>
      </c>
      <c r="C107" s="131" t="s">
        <v>1303</v>
      </c>
      <c r="D107" s="75"/>
      <c r="E107" s="127"/>
      <c r="F107" s="127"/>
      <c r="G107" s="127"/>
      <c r="H107" s="127"/>
      <c r="I107" s="127"/>
      <c r="J107" s="127"/>
      <c r="K107" s="127"/>
      <c r="L107" s="127"/>
      <c r="M107" s="74"/>
      <c r="N107" s="74"/>
      <c r="O107" s="74"/>
      <c r="P107" s="74"/>
      <c r="Q107" s="74"/>
      <c r="R107" s="74"/>
      <c r="S107" s="74"/>
      <c r="T107" s="74"/>
      <c r="U107" s="74"/>
      <c r="V107" s="74"/>
    </row>
    <row r="108" spans="1:22" ht="28.8" customHeight="1">
      <c r="A108" s="128" t="s">
        <v>1304</v>
      </c>
      <c r="B108" s="130" t="s">
        <v>1605</v>
      </c>
      <c r="C108" s="131" t="s">
        <v>1305</v>
      </c>
      <c r="D108" s="75"/>
      <c r="E108" s="127"/>
      <c r="F108" s="127"/>
      <c r="G108" s="127"/>
      <c r="H108" s="127"/>
      <c r="I108" s="127"/>
      <c r="J108" s="127"/>
      <c r="K108" s="127"/>
      <c r="L108" s="127"/>
      <c r="M108" s="74"/>
      <c r="N108" s="74"/>
      <c r="O108" s="74"/>
      <c r="P108" s="74"/>
      <c r="Q108" s="74"/>
      <c r="R108" s="74"/>
      <c r="S108" s="74"/>
      <c r="T108" s="74"/>
      <c r="U108" s="74"/>
      <c r="V108" s="74"/>
    </row>
    <row r="109" spans="1:22" ht="28.8" customHeight="1">
      <c r="A109" s="128" t="s">
        <v>1306</v>
      </c>
      <c r="B109" s="130" t="s">
        <v>1605</v>
      </c>
      <c r="C109" s="131" t="s">
        <v>1307</v>
      </c>
      <c r="D109" s="75"/>
      <c r="E109" s="127"/>
      <c r="F109" s="127"/>
      <c r="G109" s="127"/>
      <c r="H109" s="127"/>
      <c r="I109" s="127"/>
      <c r="J109" s="127"/>
      <c r="K109" s="127"/>
      <c r="L109" s="127"/>
      <c r="M109" s="74"/>
      <c r="N109" s="74"/>
      <c r="O109" s="74"/>
      <c r="P109" s="74"/>
      <c r="Q109" s="74"/>
      <c r="R109" s="74"/>
      <c r="S109" s="74"/>
      <c r="T109" s="74"/>
      <c r="U109" s="74"/>
      <c r="V109" s="74"/>
    </row>
    <row r="110" spans="1:22" ht="28.8" customHeight="1">
      <c r="A110" s="128" t="s">
        <v>1308</v>
      </c>
      <c r="B110" s="130" t="s">
        <v>1605</v>
      </c>
      <c r="C110" s="131" t="s">
        <v>1309</v>
      </c>
      <c r="D110" s="75"/>
      <c r="E110" s="127"/>
      <c r="F110" s="127"/>
      <c r="G110" s="127"/>
      <c r="H110" s="127"/>
      <c r="I110" s="127"/>
      <c r="J110" s="127"/>
      <c r="K110" s="127"/>
      <c r="L110" s="127"/>
      <c r="M110" s="74"/>
      <c r="N110" s="74"/>
      <c r="O110" s="74"/>
      <c r="P110" s="74"/>
      <c r="Q110" s="74"/>
      <c r="R110" s="74"/>
      <c r="S110" s="74"/>
      <c r="T110" s="74"/>
      <c r="U110" s="74"/>
      <c r="V110" s="74"/>
    </row>
    <row r="111" spans="1:22" ht="28.8" customHeight="1">
      <c r="A111" s="128" t="s">
        <v>1310</v>
      </c>
      <c r="B111" s="130" t="s">
        <v>1605</v>
      </c>
      <c r="C111" s="131" t="s">
        <v>1311</v>
      </c>
      <c r="D111" s="75"/>
      <c r="E111" s="127"/>
      <c r="F111" s="127"/>
      <c r="G111" s="127"/>
      <c r="H111" s="127"/>
      <c r="I111" s="127"/>
      <c r="J111" s="127"/>
      <c r="K111" s="127"/>
      <c r="L111" s="127"/>
      <c r="M111" s="74"/>
      <c r="N111" s="74"/>
      <c r="O111" s="74"/>
      <c r="P111" s="74"/>
      <c r="Q111" s="74"/>
      <c r="R111" s="74"/>
      <c r="S111" s="74"/>
      <c r="T111" s="74"/>
      <c r="U111" s="74"/>
      <c r="V111" s="74"/>
    </row>
    <row r="112" spans="1:22" ht="28.8" customHeight="1">
      <c r="A112" s="128" t="s">
        <v>1312</v>
      </c>
      <c r="B112" s="130" t="s">
        <v>1605</v>
      </c>
      <c r="C112" s="131" t="s">
        <v>1313</v>
      </c>
      <c r="D112" s="75"/>
      <c r="E112" s="127"/>
      <c r="F112" s="127"/>
      <c r="G112" s="127"/>
      <c r="H112" s="127"/>
      <c r="I112" s="127"/>
      <c r="J112" s="127"/>
      <c r="K112" s="127"/>
      <c r="L112" s="127"/>
      <c r="M112" s="74"/>
      <c r="N112" s="74"/>
      <c r="O112" s="74"/>
      <c r="P112" s="74"/>
      <c r="Q112" s="74"/>
      <c r="R112" s="74"/>
      <c r="S112" s="74"/>
      <c r="T112" s="74"/>
      <c r="U112" s="74"/>
      <c r="V112" s="74"/>
    </row>
    <row r="113" spans="1:22" ht="28.8" customHeight="1">
      <c r="A113" s="128" t="s">
        <v>1314</v>
      </c>
      <c r="B113" s="130" t="s">
        <v>1605</v>
      </c>
      <c r="C113" s="131" t="s">
        <v>1315</v>
      </c>
      <c r="D113" s="75"/>
      <c r="E113" s="127"/>
      <c r="F113" s="127"/>
      <c r="G113" s="127"/>
      <c r="H113" s="127"/>
      <c r="I113" s="127"/>
      <c r="J113" s="127"/>
      <c r="K113" s="127"/>
      <c r="L113" s="127"/>
      <c r="M113" s="74"/>
      <c r="N113" s="74"/>
      <c r="O113" s="74"/>
      <c r="P113" s="74"/>
      <c r="Q113" s="74"/>
      <c r="R113" s="74"/>
      <c r="S113" s="74"/>
      <c r="T113" s="74"/>
      <c r="U113" s="74"/>
      <c r="V113" s="74"/>
    </row>
    <row r="114" spans="1:22" ht="28.8" customHeight="1">
      <c r="A114" s="128" t="s">
        <v>1316</v>
      </c>
      <c r="B114" s="130" t="s">
        <v>1605</v>
      </c>
      <c r="C114" s="131" t="s">
        <v>1317</v>
      </c>
      <c r="D114" s="75"/>
      <c r="E114" s="127"/>
      <c r="F114" s="127"/>
      <c r="G114" s="127"/>
      <c r="H114" s="127"/>
      <c r="I114" s="127"/>
      <c r="J114" s="127"/>
      <c r="K114" s="127"/>
      <c r="L114" s="127"/>
      <c r="M114" s="74"/>
      <c r="N114" s="74"/>
      <c r="O114" s="74"/>
      <c r="P114" s="74"/>
      <c r="Q114" s="74"/>
      <c r="R114" s="74"/>
      <c r="S114" s="74"/>
      <c r="T114" s="74"/>
      <c r="U114" s="74"/>
      <c r="V114" s="74"/>
    </row>
    <row r="115" spans="1:22" ht="28.8" customHeight="1">
      <c r="A115" s="128" t="s">
        <v>1318</v>
      </c>
      <c r="B115" s="130" t="s">
        <v>1605</v>
      </c>
      <c r="C115" s="131" t="s">
        <v>1319</v>
      </c>
      <c r="D115" s="75"/>
      <c r="E115" s="127"/>
      <c r="F115" s="127"/>
      <c r="G115" s="127"/>
      <c r="H115" s="127"/>
      <c r="I115" s="127"/>
      <c r="J115" s="127"/>
      <c r="K115" s="127"/>
      <c r="L115" s="127"/>
      <c r="M115" s="74"/>
      <c r="N115" s="74"/>
      <c r="O115" s="74"/>
      <c r="P115" s="74"/>
      <c r="Q115" s="74"/>
      <c r="R115" s="74"/>
      <c r="S115" s="74"/>
      <c r="T115" s="74"/>
      <c r="U115" s="74"/>
      <c r="V115" s="74"/>
    </row>
    <row r="116" spans="1:22" ht="28.8" customHeight="1">
      <c r="A116" s="128" t="s">
        <v>1320</v>
      </c>
      <c r="B116" s="130" t="s">
        <v>1605</v>
      </c>
      <c r="C116" s="131" t="s">
        <v>1321</v>
      </c>
      <c r="D116" s="75"/>
      <c r="E116" s="127"/>
      <c r="F116" s="127"/>
      <c r="G116" s="127"/>
      <c r="H116" s="127"/>
      <c r="I116" s="127"/>
      <c r="J116" s="127"/>
      <c r="K116" s="127"/>
      <c r="L116" s="127"/>
      <c r="M116" s="74"/>
      <c r="N116" s="74"/>
      <c r="O116" s="74"/>
      <c r="P116" s="74"/>
      <c r="Q116" s="74"/>
      <c r="R116" s="74"/>
      <c r="S116" s="74"/>
      <c r="T116" s="74"/>
      <c r="U116" s="74"/>
      <c r="V116" s="74"/>
    </row>
    <row r="117" spans="1:22" ht="24">
      <c r="A117" s="133" t="s">
        <v>1322</v>
      </c>
      <c r="B117" s="133">
        <f>COUNTIF(B107:B116,"Sí")</f>
        <v>0</v>
      </c>
      <c r="C117" s="133" t="s">
        <v>1323</v>
      </c>
      <c r="D117" s="75"/>
      <c r="E117" s="127"/>
      <c r="F117" s="127"/>
      <c r="G117" s="127"/>
      <c r="H117" s="127"/>
      <c r="I117" s="127"/>
      <c r="J117" s="127"/>
      <c r="K117" s="127"/>
      <c r="L117" s="127"/>
      <c r="M117" s="74"/>
      <c r="N117" s="74"/>
      <c r="O117" s="74"/>
      <c r="P117" s="74"/>
      <c r="Q117" s="74"/>
      <c r="R117" s="74"/>
      <c r="S117" s="74"/>
      <c r="T117" s="74"/>
      <c r="U117" s="74"/>
      <c r="V117" s="74"/>
    </row>
    <row r="118" spans="1:22" ht="14.4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74"/>
      <c r="N118" s="74"/>
      <c r="O118" s="74"/>
      <c r="P118" s="74"/>
      <c r="Q118" s="74"/>
      <c r="R118" s="74"/>
      <c r="S118" s="74"/>
      <c r="T118" s="74"/>
      <c r="U118" s="74"/>
      <c r="V118" s="74"/>
    </row>
    <row r="119" spans="1:22" ht="19.2" customHeight="1">
      <c r="A119" s="171" t="s">
        <v>1324</v>
      </c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74"/>
      <c r="N119" s="74"/>
      <c r="O119" s="74"/>
      <c r="P119" s="74"/>
      <c r="Q119" s="74"/>
      <c r="R119" s="74"/>
      <c r="S119" s="74"/>
      <c r="T119" s="74"/>
      <c r="U119" s="74"/>
      <c r="V119" s="74"/>
    </row>
    <row r="120" spans="1:22" ht="24" customHeight="1">
      <c r="A120" s="140" t="s">
        <v>1325</v>
      </c>
      <c r="B120" s="140" t="s">
        <v>1300</v>
      </c>
      <c r="C120" s="140" t="s">
        <v>1326</v>
      </c>
      <c r="D120" s="75"/>
      <c r="E120" s="127"/>
      <c r="F120" s="127"/>
      <c r="G120" s="127"/>
      <c r="H120" s="127"/>
      <c r="I120" s="127"/>
      <c r="J120" s="127"/>
      <c r="K120" s="127"/>
      <c r="L120" s="127"/>
      <c r="M120" s="74"/>
      <c r="N120" s="74"/>
      <c r="O120" s="74"/>
      <c r="P120" s="74"/>
      <c r="Q120" s="74"/>
      <c r="R120" s="74"/>
      <c r="S120" s="74"/>
      <c r="T120" s="74"/>
      <c r="U120" s="74"/>
      <c r="V120" s="74"/>
    </row>
    <row r="121" spans="1:22" ht="28.8" customHeight="1">
      <c r="A121" s="128" t="s">
        <v>1327</v>
      </c>
      <c r="B121" s="130" t="s">
        <v>55</v>
      </c>
      <c r="C121" s="131" t="s">
        <v>1328</v>
      </c>
      <c r="D121" s="75"/>
      <c r="E121" s="127"/>
      <c r="F121" s="127"/>
      <c r="G121" s="127"/>
      <c r="H121" s="127"/>
      <c r="I121" s="127"/>
      <c r="J121" s="127"/>
      <c r="K121" s="127"/>
      <c r="L121" s="127"/>
      <c r="M121" s="74"/>
      <c r="N121" s="74"/>
      <c r="O121" s="74"/>
      <c r="P121" s="74"/>
      <c r="Q121" s="74"/>
      <c r="R121" s="74"/>
      <c r="S121" s="74"/>
      <c r="T121" s="74"/>
      <c r="U121" s="74"/>
      <c r="V121" s="74"/>
    </row>
    <row r="122" spans="1:22" ht="28.8" customHeight="1">
      <c r="A122" s="128" t="s">
        <v>1329</v>
      </c>
      <c r="B122" s="130" t="s">
        <v>1605</v>
      </c>
      <c r="C122" s="131" t="s">
        <v>1330</v>
      </c>
      <c r="D122" s="75"/>
      <c r="E122" s="127"/>
      <c r="F122" s="127"/>
      <c r="G122" s="127"/>
      <c r="H122" s="127"/>
      <c r="I122" s="127"/>
      <c r="J122" s="127"/>
      <c r="K122" s="127"/>
      <c r="L122" s="127"/>
      <c r="M122" s="74"/>
      <c r="N122" s="74"/>
      <c r="O122" s="74"/>
      <c r="P122" s="74"/>
      <c r="Q122" s="74"/>
      <c r="R122" s="74"/>
      <c r="S122" s="74"/>
      <c r="T122" s="74"/>
      <c r="U122" s="74"/>
      <c r="V122" s="74"/>
    </row>
    <row r="123" spans="1:22" ht="28.8" customHeight="1">
      <c r="A123" s="128" t="s">
        <v>1331</v>
      </c>
      <c r="B123" s="130" t="s">
        <v>1605</v>
      </c>
      <c r="C123" s="131" t="s">
        <v>1332</v>
      </c>
      <c r="D123" s="75"/>
      <c r="E123" s="127"/>
      <c r="F123" s="127"/>
      <c r="G123" s="127"/>
      <c r="H123" s="127"/>
      <c r="I123" s="127"/>
      <c r="J123" s="127"/>
      <c r="K123" s="127"/>
      <c r="L123" s="127"/>
      <c r="M123" s="74"/>
      <c r="N123" s="74"/>
      <c r="O123" s="74"/>
      <c r="P123" s="74"/>
      <c r="Q123" s="74"/>
      <c r="R123" s="74"/>
      <c r="S123" s="74"/>
      <c r="T123" s="74"/>
      <c r="U123" s="74"/>
      <c r="V123" s="74"/>
    </row>
    <row r="124" spans="1:22" ht="28.8" customHeight="1">
      <c r="A124" s="128" t="s">
        <v>164</v>
      </c>
      <c r="B124" s="130" t="s">
        <v>1605</v>
      </c>
      <c r="C124" s="131" t="s">
        <v>1333</v>
      </c>
      <c r="D124" s="75"/>
      <c r="E124" s="127"/>
      <c r="F124" s="127"/>
      <c r="G124" s="127"/>
      <c r="H124" s="127"/>
      <c r="I124" s="127"/>
      <c r="J124" s="127"/>
      <c r="K124" s="127"/>
      <c r="L124" s="127"/>
      <c r="M124" s="74"/>
      <c r="N124" s="74"/>
      <c r="O124" s="74"/>
      <c r="P124" s="74"/>
      <c r="Q124" s="74"/>
      <c r="R124" s="74"/>
      <c r="S124" s="74"/>
      <c r="T124" s="74"/>
      <c r="U124" s="74"/>
      <c r="V124" s="74"/>
    </row>
    <row r="125" spans="1:22" ht="28.8" customHeight="1">
      <c r="A125" s="128" t="s">
        <v>1334</v>
      </c>
      <c r="B125" s="130" t="s">
        <v>1605</v>
      </c>
      <c r="C125" s="131" t="s">
        <v>1335</v>
      </c>
      <c r="D125" s="75"/>
      <c r="E125" s="127"/>
      <c r="F125" s="127"/>
      <c r="G125" s="127"/>
      <c r="H125" s="127"/>
      <c r="I125" s="127"/>
      <c r="J125" s="127"/>
      <c r="K125" s="127"/>
      <c r="L125" s="127"/>
      <c r="M125" s="74"/>
      <c r="N125" s="74"/>
      <c r="O125" s="74"/>
      <c r="P125" s="74"/>
      <c r="Q125" s="74"/>
      <c r="R125" s="74"/>
      <c r="S125" s="74"/>
      <c r="T125" s="74"/>
      <c r="U125" s="74"/>
      <c r="V125" s="74"/>
    </row>
    <row r="126" spans="1:22" ht="28.8" customHeight="1">
      <c r="A126" s="128" t="s">
        <v>1336</v>
      </c>
      <c r="B126" s="130" t="s">
        <v>1605</v>
      </c>
      <c r="C126" s="131" t="s">
        <v>1337</v>
      </c>
      <c r="D126" s="75"/>
      <c r="E126" s="127"/>
      <c r="F126" s="127"/>
      <c r="G126" s="127"/>
      <c r="H126" s="127"/>
      <c r="I126" s="127"/>
      <c r="J126" s="127"/>
      <c r="K126" s="127"/>
      <c r="L126" s="127"/>
      <c r="M126" s="74"/>
      <c r="N126" s="74"/>
      <c r="O126" s="74"/>
      <c r="P126" s="74"/>
      <c r="Q126" s="74"/>
      <c r="R126" s="74"/>
      <c r="S126" s="74"/>
      <c r="T126" s="74"/>
      <c r="U126" s="74"/>
      <c r="V126" s="74"/>
    </row>
    <row r="127" spans="1:22" ht="28.8" customHeight="1">
      <c r="A127" s="128" t="s">
        <v>1338</v>
      </c>
      <c r="B127" s="130" t="s">
        <v>1605</v>
      </c>
      <c r="C127" s="131" t="s">
        <v>1339</v>
      </c>
      <c r="D127" s="75"/>
      <c r="E127" s="127"/>
      <c r="F127" s="127"/>
      <c r="G127" s="127"/>
      <c r="H127" s="127"/>
      <c r="I127" s="127"/>
      <c r="J127" s="127"/>
      <c r="K127" s="127"/>
      <c r="L127" s="127"/>
      <c r="M127" s="74"/>
      <c r="N127" s="74"/>
      <c r="O127" s="74"/>
      <c r="P127" s="74"/>
      <c r="Q127" s="74"/>
      <c r="R127" s="74"/>
      <c r="S127" s="74"/>
      <c r="T127" s="74"/>
      <c r="U127" s="74"/>
      <c r="V127" s="74"/>
    </row>
    <row r="128" spans="1:22" ht="28.8" customHeight="1">
      <c r="A128" s="128" t="s">
        <v>1340</v>
      </c>
      <c r="B128" s="130" t="s">
        <v>1605</v>
      </c>
      <c r="C128" s="131" t="s">
        <v>1341</v>
      </c>
      <c r="D128" s="75"/>
      <c r="E128" s="127"/>
      <c r="F128" s="127"/>
      <c r="G128" s="127"/>
      <c r="H128" s="127"/>
      <c r="I128" s="127"/>
      <c r="J128" s="127"/>
      <c r="K128" s="127"/>
      <c r="L128" s="127"/>
      <c r="M128" s="74"/>
      <c r="N128" s="74"/>
      <c r="O128" s="74"/>
      <c r="P128" s="74"/>
      <c r="Q128" s="74"/>
      <c r="R128" s="74"/>
      <c r="S128" s="74"/>
      <c r="T128" s="74"/>
      <c r="U128" s="74"/>
      <c r="V128" s="74"/>
    </row>
    <row r="129" spans="1:22" ht="28.8" customHeight="1">
      <c r="A129" s="128" t="s">
        <v>1342</v>
      </c>
      <c r="B129" s="130" t="s">
        <v>1605</v>
      </c>
      <c r="C129" s="131" t="s">
        <v>1343</v>
      </c>
      <c r="D129" s="75"/>
      <c r="E129" s="127"/>
      <c r="F129" s="127"/>
      <c r="G129" s="127"/>
      <c r="H129" s="127"/>
      <c r="I129" s="127"/>
      <c r="J129" s="127"/>
      <c r="K129" s="127"/>
      <c r="L129" s="127"/>
      <c r="M129" s="74"/>
      <c r="N129" s="74"/>
      <c r="O129" s="74"/>
      <c r="P129" s="74"/>
      <c r="Q129" s="74"/>
      <c r="R129" s="74"/>
      <c r="S129" s="74"/>
      <c r="T129" s="74"/>
      <c r="U129" s="74"/>
      <c r="V129" s="74"/>
    </row>
    <row r="130" spans="1:22" ht="28.8" customHeight="1">
      <c r="A130" s="128" t="s">
        <v>1344</v>
      </c>
      <c r="B130" s="130" t="s">
        <v>1605</v>
      </c>
      <c r="C130" s="131" t="s">
        <v>1345</v>
      </c>
      <c r="D130" s="75"/>
      <c r="E130" s="127"/>
      <c r="F130" s="127"/>
      <c r="G130" s="127"/>
      <c r="H130" s="127"/>
      <c r="I130" s="127"/>
      <c r="J130" s="127"/>
      <c r="K130" s="127"/>
      <c r="L130" s="127"/>
      <c r="M130" s="74"/>
      <c r="N130" s="74"/>
      <c r="O130" s="74"/>
      <c r="P130" s="74"/>
      <c r="Q130" s="74"/>
      <c r="R130" s="74"/>
      <c r="S130" s="74"/>
      <c r="T130" s="74"/>
      <c r="U130" s="74"/>
      <c r="V130" s="74"/>
    </row>
    <row r="131" spans="1:22" ht="24">
      <c r="A131" s="133" t="s">
        <v>1322</v>
      </c>
      <c r="B131" s="133">
        <f>COUNTIF(B121:B130,"Sí")</f>
        <v>0</v>
      </c>
      <c r="C131" s="133" t="s">
        <v>1323</v>
      </c>
      <c r="D131" s="75"/>
      <c r="E131" s="127"/>
      <c r="F131" s="127"/>
      <c r="G131" s="127"/>
      <c r="H131" s="127"/>
      <c r="I131" s="127"/>
      <c r="J131" s="127"/>
      <c r="K131" s="127"/>
      <c r="L131" s="127"/>
      <c r="M131" s="74"/>
      <c r="N131" s="74"/>
      <c r="O131" s="74"/>
      <c r="P131" s="74"/>
      <c r="Q131" s="74"/>
      <c r="R131" s="74"/>
      <c r="S131" s="74"/>
      <c r="T131" s="74"/>
      <c r="U131" s="74"/>
      <c r="V131" s="74"/>
    </row>
    <row r="132" spans="1:22" ht="14.4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74"/>
      <c r="N132" s="74"/>
      <c r="O132" s="74"/>
      <c r="P132" s="74"/>
      <c r="Q132" s="74"/>
      <c r="R132" s="74"/>
      <c r="S132" s="74"/>
      <c r="T132" s="74"/>
      <c r="U132" s="74"/>
      <c r="V132" s="74"/>
    </row>
    <row r="133" spans="1:22" ht="19.2" customHeight="1">
      <c r="A133" s="171" t="s">
        <v>1346</v>
      </c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74"/>
      <c r="N133" s="74"/>
      <c r="O133" s="74"/>
      <c r="P133" s="74"/>
      <c r="Q133" s="74"/>
      <c r="R133" s="74"/>
      <c r="S133" s="74"/>
      <c r="T133" s="74"/>
      <c r="U133" s="74"/>
      <c r="V133" s="74"/>
    </row>
    <row r="134" spans="1:22" ht="24" customHeight="1">
      <c r="A134" s="140" t="s">
        <v>1347</v>
      </c>
      <c r="B134" s="140" t="s">
        <v>1118</v>
      </c>
      <c r="C134" s="140" t="s">
        <v>1119</v>
      </c>
      <c r="D134" s="140" t="s">
        <v>1107</v>
      </c>
      <c r="E134" s="127"/>
      <c r="F134" s="127"/>
      <c r="G134" s="127"/>
      <c r="H134" s="127"/>
      <c r="I134" s="127"/>
      <c r="J134" s="127"/>
      <c r="K134" s="127"/>
      <c r="L134" s="127"/>
      <c r="M134" s="74"/>
      <c r="N134" s="74"/>
      <c r="O134" s="74"/>
      <c r="P134" s="74"/>
      <c r="Q134" s="74"/>
      <c r="R134" s="74"/>
      <c r="S134" s="74"/>
      <c r="T134" s="74"/>
      <c r="U134" s="74"/>
      <c r="V134" s="74"/>
    </row>
    <row r="135" spans="1:22" ht="28.8" customHeight="1">
      <c r="A135" s="138" t="s">
        <v>1348</v>
      </c>
      <c r="B135" s="127" t="s">
        <v>1349</v>
      </c>
      <c r="C135" s="130" t="s">
        <v>47</v>
      </c>
      <c r="D135" s="131" t="s">
        <v>1350</v>
      </c>
      <c r="E135" s="127"/>
      <c r="F135" s="127"/>
      <c r="G135" s="127"/>
      <c r="H135" s="127"/>
      <c r="I135" s="127"/>
      <c r="J135" s="127"/>
      <c r="K135" s="127"/>
      <c r="L135" s="127"/>
      <c r="M135" s="74"/>
      <c r="N135" s="74"/>
      <c r="O135" s="74"/>
      <c r="P135" s="74"/>
      <c r="Q135" s="74"/>
      <c r="R135" s="74"/>
      <c r="S135" s="74"/>
      <c r="T135" s="74"/>
      <c r="U135" s="74"/>
      <c r="V135" s="74"/>
    </row>
    <row r="136" spans="1:22" ht="28.8" customHeight="1">
      <c r="A136" s="138" t="s">
        <v>1351</v>
      </c>
      <c r="B136" s="127" t="s">
        <v>1352</v>
      </c>
      <c r="C136" s="130" t="s">
        <v>55</v>
      </c>
      <c r="D136" s="131" t="s">
        <v>1353</v>
      </c>
      <c r="E136" s="127"/>
      <c r="F136" s="127"/>
      <c r="G136" s="127"/>
      <c r="H136" s="127"/>
      <c r="I136" s="127"/>
      <c r="J136" s="127"/>
      <c r="K136" s="127"/>
      <c r="L136" s="127"/>
      <c r="M136" s="74"/>
      <c r="N136" s="74"/>
      <c r="O136" s="74"/>
      <c r="P136" s="74"/>
      <c r="Q136" s="74"/>
      <c r="R136" s="74"/>
      <c r="S136" s="74"/>
      <c r="T136" s="74"/>
      <c r="U136" s="74"/>
      <c r="V136" s="74"/>
    </row>
    <row r="137" spans="1:22" ht="28.8" customHeight="1">
      <c r="A137" s="138" t="s">
        <v>1354</v>
      </c>
      <c r="B137" s="127" t="s">
        <v>1355</v>
      </c>
      <c r="C137" s="130" t="s">
        <v>55</v>
      </c>
      <c r="D137" s="131" t="s">
        <v>1356</v>
      </c>
      <c r="E137" s="127"/>
      <c r="F137" s="127"/>
      <c r="G137" s="127"/>
      <c r="H137" s="127"/>
      <c r="I137" s="127"/>
      <c r="J137" s="127"/>
      <c r="K137" s="127"/>
      <c r="L137" s="127"/>
      <c r="M137" s="74"/>
      <c r="N137" s="74"/>
      <c r="O137" s="74"/>
      <c r="P137" s="74"/>
      <c r="Q137" s="74"/>
      <c r="R137" s="74"/>
      <c r="S137" s="74"/>
      <c r="T137" s="74"/>
      <c r="U137" s="74"/>
      <c r="V137" s="74"/>
    </row>
    <row r="138" spans="1:22" ht="28.8" customHeight="1">
      <c r="A138" s="138" t="s">
        <v>1357</v>
      </c>
      <c r="B138" s="127" t="s">
        <v>1358</v>
      </c>
      <c r="C138" s="130" t="s">
        <v>47</v>
      </c>
      <c r="D138" s="131" t="s">
        <v>1359</v>
      </c>
      <c r="E138" s="127"/>
      <c r="F138" s="127"/>
      <c r="G138" s="127"/>
      <c r="H138" s="127"/>
      <c r="I138" s="127"/>
      <c r="J138" s="127"/>
      <c r="K138" s="127"/>
      <c r="L138" s="127"/>
      <c r="M138" s="74"/>
      <c r="N138" s="74"/>
      <c r="O138" s="74"/>
      <c r="P138" s="74"/>
      <c r="Q138" s="74"/>
      <c r="R138" s="74"/>
      <c r="S138" s="74"/>
      <c r="T138" s="74"/>
      <c r="U138" s="74"/>
      <c r="V138" s="74"/>
    </row>
    <row r="139" spans="1:22" ht="28.8" customHeight="1">
      <c r="A139" s="138" t="s">
        <v>1360</v>
      </c>
      <c r="B139" s="127" t="s">
        <v>1361</v>
      </c>
      <c r="C139" s="130" t="s">
        <v>55</v>
      </c>
      <c r="D139" s="131" t="s">
        <v>1362</v>
      </c>
      <c r="E139" s="127"/>
      <c r="F139" s="127"/>
      <c r="G139" s="127"/>
      <c r="H139" s="127"/>
      <c r="I139" s="127"/>
      <c r="J139" s="127"/>
      <c r="K139" s="127"/>
      <c r="L139" s="127"/>
      <c r="M139" s="74"/>
      <c r="N139" s="74"/>
      <c r="O139" s="74"/>
      <c r="P139" s="74"/>
      <c r="Q139" s="74"/>
      <c r="R139" s="74"/>
      <c r="S139" s="74"/>
      <c r="T139" s="74"/>
      <c r="U139" s="74"/>
      <c r="V139" s="74"/>
    </row>
    <row r="140" spans="1:22" ht="28.8" customHeight="1">
      <c r="A140" s="138" t="s">
        <v>1363</v>
      </c>
      <c r="B140" s="127" t="s">
        <v>1364</v>
      </c>
      <c r="C140" s="130" t="s">
        <v>47</v>
      </c>
      <c r="D140" s="131" t="s">
        <v>1365</v>
      </c>
      <c r="E140" s="127"/>
      <c r="F140" s="127"/>
      <c r="G140" s="127"/>
      <c r="H140" s="127"/>
      <c r="I140" s="127"/>
      <c r="J140" s="127"/>
      <c r="K140" s="127"/>
      <c r="L140" s="127"/>
      <c r="M140" s="74"/>
      <c r="N140" s="74"/>
      <c r="O140" s="74"/>
      <c r="P140" s="74"/>
      <c r="Q140" s="74"/>
      <c r="R140" s="74"/>
      <c r="S140" s="74"/>
      <c r="T140" s="74"/>
      <c r="U140" s="74"/>
      <c r="V140" s="74"/>
    </row>
    <row r="141" spans="1:22" ht="28.8" customHeight="1">
      <c r="A141" s="138" t="s">
        <v>1366</v>
      </c>
      <c r="B141" s="127" t="s">
        <v>1367</v>
      </c>
      <c r="C141" s="130" t="s">
        <v>47</v>
      </c>
      <c r="D141" s="131" t="s">
        <v>1368</v>
      </c>
      <c r="E141" s="127"/>
      <c r="F141" s="127"/>
      <c r="G141" s="127"/>
      <c r="H141" s="127"/>
      <c r="I141" s="127"/>
      <c r="J141" s="127"/>
      <c r="K141" s="127"/>
      <c r="L141" s="127"/>
      <c r="M141" s="74"/>
      <c r="N141" s="74"/>
      <c r="O141" s="74"/>
      <c r="P141" s="74"/>
      <c r="Q141" s="74"/>
      <c r="R141" s="74"/>
      <c r="S141" s="74"/>
      <c r="T141" s="74"/>
      <c r="U141" s="74"/>
      <c r="V141" s="74"/>
    </row>
    <row r="142" spans="1:22" ht="28.8" customHeight="1">
      <c r="A142" s="138" t="s">
        <v>1369</v>
      </c>
      <c r="B142" s="127" t="s">
        <v>1370</v>
      </c>
      <c r="C142" s="130" t="s">
        <v>47</v>
      </c>
      <c r="D142" s="131" t="s">
        <v>1371</v>
      </c>
      <c r="E142" s="127"/>
      <c r="F142" s="127"/>
      <c r="G142" s="127"/>
      <c r="H142" s="127"/>
      <c r="I142" s="127"/>
      <c r="J142" s="127"/>
      <c r="K142" s="127"/>
      <c r="L142" s="127"/>
      <c r="M142" s="74"/>
      <c r="N142" s="74"/>
      <c r="O142" s="74"/>
      <c r="P142" s="74"/>
      <c r="Q142" s="74"/>
      <c r="R142" s="74"/>
      <c r="S142" s="74"/>
      <c r="T142" s="74"/>
      <c r="U142" s="74"/>
      <c r="V142" s="74"/>
    </row>
    <row r="143" spans="1:22" ht="28.8" customHeight="1">
      <c r="A143" s="138" t="s">
        <v>1372</v>
      </c>
      <c r="B143" s="127" t="s">
        <v>1373</v>
      </c>
      <c r="C143" s="130" t="s">
        <v>55</v>
      </c>
      <c r="D143" s="131" t="s">
        <v>1374</v>
      </c>
      <c r="E143" s="127"/>
      <c r="F143" s="127"/>
      <c r="G143" s="127"/>
      <c r="H143" s="127"/>
      <c r="I143" s="127"/>
      <c r="J143" s="127"/>
      <c r="K143" s="127"/>
      <c r="L143" s="127"/>
      <c r="M143" s="74"/>
      <c r="N143" s="74"/>
      <c r="O143" s="74"/>
      <c r="P143" s="74"/>
      <c r="Q143" s="74"/>
      <c r="R143" s="74"/>
      <c r="S143" s="74"/>
      <c r="T143" s="74"/>
      <c r="U143" s="74"/>
      <c r="V143" s="74"/>
    </row>
    <row r="144" spans="1:22" ht="28.8" customHeight="1">
      <c r="A144" s="138" t="s">
        <v>1375</v>
      </c>
      <c r="B144" s="127" t="s">
        <v>1376</v>
      </c>
      <c r="C144" s="130" t="s">
        <v>1605</v>
      </c>
      <c r="D144" s="131" t="s">
        <v>1377</v>
      </c>
      <c r="E144" s="127"/>
      <c r="F144" s="127"/>
      <c r="G144" s="127"/>
      <c r="H144" s="127"/>
      <c r="I144" s="127"/>
      <c r="J144" s="127"/>
      <c r="K144" s="127"/>
      <c r="L144" s="127"/>
      <c r="M144" s="74"/>
      <c r="N144" s="74"/>
      <c r="O144" s="74"/>
      <c r="P144" s="74"/>
      <c r="Q144" s="74"/>
      <c r="R144" s="74"/>
      <c r="S144" s="74"/>
      <c r="T144" s="74"/>
      <c r="U144" s="74"/>
      <c r="V144" s="74"/>
    </row>
    <row r="145" spans="1:22" ht="28.8" customHeight="1">
      <c r="A145" s="138" t="s">
        <v>1378</v>
      </c>
      <c r="B145" s="127" t="s">
        <v>1379</v>
      </c>
      <c r="C145" s="130" t="s">
        <v>55</v>
      </c>
      <c r="D145" s="131" t="s">
        <v>1380</v>
      </c>
      <c r="E145" s="127"/>
      <c r="F145" s="127"/>
      <c r="G145" s="127"/>
      <c r="H145" s="127"/>
      <c r="I145" s="127"/>
      <c r="J145" s="127"/>
      <c r="K145" s="127"/>
      <c r="L145" s="127"/>
      <c r="M145" s="74"/>
      <c r="N145" s="74"/>
      <c r="O145" s="74"/>
      <c r="P145" s="74"/>
      <c r="Q145" s="74"/>
      <c r="R145" s="74"/>
      <c r="S145" s="74"/>
      <c r="T145" s="74"/>
      <c r="U145" s="74"/>
      <c r="V145" s="74"/>
    </row>
    <row r="146" spans="1:22" ht="28.8" customHeight="1">
      <c r="A146" s="138" t="s">
        <v>1381</v>
      </c>
      <c r="B146" s="127" t="s">
        <v>1382</v>
      </c>
      <c r="C146" s="130" t="s">
        <v>47</v>
      </c>
      <c r="D146" s="131" t="s">
        <v>1383</v>
      </c>
      <c r="E146" s="127"/>
      <c r="F146" s="127"/>
      <c r="G146" s="127"/>
      <c r="H146" s="127"/>
      <c r="I146" s="127"/>
      <c r="J146" s="127"/>
      <c r="K146" s="127"/>
      <c r="L146" s="127"/>
      <c r="M146" s="74"/>
      <c r="N146" s="74"/>
      <c r="O146" s="74"/>
      <c r="P146" s="74"/>
      <c r="Q146" s="74"/>
      <c r="R146" s="74"/>
      <c r="S146" s="74"/>
      <c r="T146" s="74"/>
      <c r="U146" s="74"/>
      <c r="V146" s="74"/>
    </row>
    <row r="147" spans="1:22" ht="14.4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74"/>
      <c r="N147" s="74"/>
      <c r="O147" s="74"/>
      <c r="P147" s="74"/>
      <c r="Q147" s="74"/>
      <c r="R147" s="74"/>
      <c r="S147" s="74"/>
      <c r="T147" s="74"/>
      <c r="U147" s="74"/>
      <c r="V147" s="74"/>
    </row>
    <row r="148" spans="1:22" ht="14.4">
      <c r="A148" s="172" t="s">
        <v>1384</v>
      </c>
      <c r="B148" s="172"/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74"/>
      <c r="N148" s="74"/>
      <c r="O148" s="74"/>
      <c r="P148" s="74"/>
      <c r="Q148" s="74"/>
      <c r="R148" s="74"/>
      <c r="S148" s="74"/>
      <c r="T148" s="74"/>
      <c r="U148" s="74"/>
      <c r="V148" s="74"/>
    </row>
    <row r="149" spans="1:22" ht="14.4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4"/>
      <c r="N149" s="74"/>
      <c r="O149" s="74"/>
      <c r="P149" s="74"/>
      <c r="Q149" s="74"/>
      <c r="R149" s="74"/>
      <c r="S149" s="74"/>
      <c r="T149" s="74"/>
      <c r="U149" s="74"/>
      <c r="V149" s="74"/>
    </row>
    <row r="150" spans="1:22" ht="14.4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4"/>
      <c r="N150" s="74"/>
      <c r="O150" s="74"/>
      <c r="P150" s="74"/>
      <c r="Q150" s="74"/>
      <c r="R150" s="74"/>
      <c r="S150" s="74"/>
      <c r="T150" s="74"/>
      <c r="U150" s="74"/>
      <c r="V150" s="74"/>
    </row>
    <row r="151" spans="1:22" ht="14.4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4"/>
      <c r="N151" s="74"/>
      <c r="O151" s="74"/>
      <c r="P151" s="74"/>
      <c r="Q151" s="74"/>
      <c r="R151" s="74"/>
      <c r="S151" s="74"/>
      <c r="T151" s="74"/>
      <c r="U151" s="74"/>
      <c r="V151" s="74"/>
    </row>
    <row r="152" spans="1:22" ht="14.4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4"/>
      <c r="N152" s="74"/>
      <c r="O152" s="74"/>
      <c r="P152" s="74"/>
      <c r="Q152" s="74"/>
      <c r="R152" s="74"/>
      <c r="S152" s="74"/>
      <c r="T152" s="74"/>
      <c r="U152" s="74"/>
      <c r="V152" s="74"/>
    </row>
    <row r="153" spans="1:22" ht="14.4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4"/>
      <c r="N153" s="74"/>
      <c r="O153" s="74"/>
      <c r="P153" s="74"/>
      <c r="Q153" s="74"/>
      <c r="R153" s="74"/>
      <c r="S153" s="74"/>
      <c r="T153" s="74"/>
      <c r="U153" s="74"/>
      <c r="V153" s="74"/>
    </row>
    <row r="154" spans="1:22" ht="14.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4"/>
      <c r="N154" s="74"/>
      <c r="O154" s="74"/>
      <c r="P154" s="74"/>
      <c r="Q154" s="74"/>
      <c r="R154" s="74"/>
      <c r="S154" s="74"/>
      <c r="T154" s="74"/>
      <c r="U154" s="74"/>
      <c r="V154" s="74"/>
    </row>
    <row r="155" spans="1:22" ht="14.4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4"/>
      <c r="N155" s="74"/>
      <c r="O155" s="74"/>
      <c r="P155" s="74"/>
      <c r="Q155" s="74"/>
      <c r="R155" s="74"/>
      <c r="S155" s="74"/>
      <c r="T155" s="74"/>
      <c r="U155" s="74"/>
      <c r="V155" s="74"/>
    </row>
    <row r="156" spans="1:22" ht="14.4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4"/>
      <c r="N156" s="74"/>
      <c r="O156" s="74"/>
      <c r="P156" s="74"/>
      <c r="Q156" s="74"/>
      <c r="R156" s="74"/>
      <c r="S156" s="74"/>
      <c r="T156" s="74"/>
      <c r="U156" s="74"/>
      <c r="V156" s="74"/>
    </row>
    <row r="157" spans="1:22" ht="14.4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4"/>
      <c r="N157" s="74"/>
      <c r="O157" s="74"/>
      <c r="P157" s="74"/>
      <c r="Q157" s="74"/>
      <c r="R157" s="74"/>
      <c r="S157" s="74"/>
      <c r="T157" s="74"/>
      <c r="U157" s="74"/>
      <c r="V157" s="74"/>
    </row>
    <row r="158" spans="1:22" ht="14.4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4"/>
      <c r="N158" s="74"/>
      <c r="O158" s="74"/>
      <c r="P158" s="74"/>
      <c r="Q158" s="74"/>
      <c r="R158" s="74"/>
      <c r="S158" s="74"/>
      <c r="T158" s="74"/>
      <c r="U158" s="74"/>
      <c r="V158" s="74"/>
    </row>
    <row r="159" spans="1:22" ht="14.4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4"/>
      <c r="N159" s="74"/>
      <c r="O159" s="74"/>
      <c r="P159" s="74"/>
      <c r="Q159" s="74"/>
      <c r="R159" s="74"/>
      <c r="S159" s="74"/>
      <c r="T159" s="74"/>
      <c r="U159" s="74"/>
      <c r="V159" s="74"/>
    </row>
    <row r="160" spans="1:22" ht="14.4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4"/>
      <c r="N160" s="74"/>
      <c r="O160" s="74"/>
      <c r="P160" s="74"/>
      <c r="Q160" s="74"/>
      <c r="R160" s="74"/>
      <c r="S160" s="74"/>
      <c r="T160" s="74"/>
      <c r="U160" s="74"/>
      <c r="V160" s="74"/>
    </row>
  </sheetData>
  <mergeCells count="15">
    <mergeCell ref="A1:L1"/>
    <mergeCell ref="A2:L2"/>
    <mergeCell ref="A4:L4"/>
    <mergeCell ref="A12:L12"/>
    <mergeCell ref="A13:L13"/>
    <mergeCell ref="A15:L15"/>
    <mergeCell ref="A30:L30"/>
    <mergeCell ref="A47:L47"/>
    <mergeCell ref="A63:L63"/>
    <mergeCell ref="A79:L79"/>
    <mergeCell ref="A95:L95"/>
    <mergeCell ref="A105:L105"/>
    <mergeCell ref="A119:L119"/>
    <mergeCell ref="A133:L133"/>
    <mergeCell ref="A148:L148"/>
  </mergeCells>
  <conditionalFormatting sqref="C6">
    <cfRule type="cellIs" priority="1">
      <formula>1</formula>
    </cfRule>
    <cfRule type="cellIs" priority="2">
      <formula>2</formula>
    </cfRule>
    <cfRule type="cellIs" priority="3">
      <formula>3</formula>
    </cfRule>
    <cfRule type="cellIs" priority="4">
      <formula>4</formula>
    </cfRule>
    <cfRule type="cellIs" priority="5">
      <formula>5</formula>
    </cfRule>
  </conditionalFormatting>
  <conditionalFormatting sqref="C7">
    <cfRule type="cellIs" priority="6">
      <formula>1</formula>
    </cfRule>
    <cfRule type="cellIs" priority="7">
      <formula>2</formula>
    </cfRule>
    <cfRule type="cellIs" priority="8">
      <formula>3</formula>
    </cfRule>
    <cfRule type="cellIs" priority="9">
      <formula>4</formula>
    </cfRule>
    <cfRule type="cellIs" priority="10">
      <formula>5</formula>
    </cfRule>
  </conditionalFormatting>
  <conditionalFormatting sqref="C8">
    <cfRule type="cellIs" priority="11">
      <formula>1</formula>
    </cfRule>
    <cfRule type="cellIs" priority="12">
      <formula>2</formula>
    </cfRule>
    <cfRule type="cellIs" priority="13">
      <formula>3</formula>
    </cfRule>
    <cfRule type="cellIs" priority="14">
      <formula>4</formula>
    </cfRule>
    <cfRule type="cellIs" priority="15">
      <formula>5</formula>
    </cfRule>
  </conditionalFormatting>
  <conditionalFormatting sqref="B6:B8">
    <cfRule type="colorScale" priority="16">
      <colorScale>
        <cfvo type="min"/>
        <cfvo type="percentile" val="50"/>
        <cfvo type="max"/>
        <color rgb="FFDDEFE3"/>
        <color rgb="FFFFF4CC"/>
        <color rgb="FFF8D7DA"/>
      </colorScale>
    </cfRule>
  </conditionalFormatting>
  <dataValidations count="30">
    <dataValidation type="list" sqref="C15">
      <formula1>"1,2–3,4–10,11–30,&gt;30,Desconocido"</formula1>
    </dataValidation>
    <dataValidation type="list" sqref="C16">
      <formula1>"1–3,4–6,7–10,11–15,&gt;15,Desconocido"</formula1>
    </dataValidation>
    <dataValidation type="list" sqref="C17">
      <formula1>"1–10,11–50,51–200,201–500,&gt;500,Desconocido"</formula1>
    </dataValidation>
    <dataValidation type="list" sqref="C18">
      <formula1>"1,2–3,4–10,11–30,&gt;30,Desconocido"</formula1>
    </dataValidation>
    <dataValidation type="list" sqref="C19">
      <formula1>"1–3,4–6,7–10,11–15,&gt;15,Desconocido"</formula1>
    </dataValidation>
    <dataValidation type="list" sqref="C20">
      <formula1>"1–5,6–10,11–20,21–40,&gt;40,Desconocido"</formula1>
    </dataValidation>
    <dataValidation type="list" sqref="C21">
      <formula1>"&gt;80%,61–80%,31–60%,1–30%,0% / no inventariados,Desconocido"</formula1>
    </dataValidation>
    <dataValidation type="list" sqref="C22">
      <formula1>"&lt;1.000,1.000–10.000,10.001–50.000,50.001–250.000,&gt;250.000,Desconocido"</formula1>
    </dataValidation>
    <dataValidation type="list" sqref="C23">
      <formula1>"0,1–99,100–999,1.000–10.000,&gt;10.000,Desconocido"</formula1>
    </dataValidation>
    <dataValidation type="list" sqref="C24">
      <formula1>"≥90%,70–89%,40–69%,1–39%,0%,Desconocido"</formula1>
    </dataValidation>
    <dataValidation type="list" sqref="C25">
      <formula1>"0,1,2–3,4–5,&gt;5,Desconocido"</formula1>
    </dataValidation>
    <dataValidation type="list" sqref="C26">
      <formula1>"≤2 días,3–5 días,6–10 días,11–20 días,&gt;20 días,Desconocido"</formula1>
    </dataValidation>
    <dataValidation type="list" sqref="C27">
      <formula1>"No,Sí,No sabe"</formula1>
    </dataValidation>
    <dataValidation type="list" sqref="C28">
      <formula1>"No aplica,Centralizado,Mixto,Descentralizado,No sabe"</formula1>
    </dataValidation>
    <dataValidation type="list" sqref="C29">
      <formula1>"≥90%,70–89%,40–69%,1–39%,0%,Desconocido"</formula1>
    </dataValidation>
    <dataValidation type="list" sqref="C30">
      <formula1>"0,1,2–3,4–5,&gt;5,Desconocido"</formula1>
    </dataValidation>
    <dataValidation type="list" sqref="C31">
      <formula1>"≤2 días,3–5 días,6–10 días,11–20 días,&gt;20 días,Desconocido"</formula1>
    </dataValidation>
    <dataValidation type="list" sqref="C36">
      <formula1>"Sí,No,No sabe"</formula1>
    </dataValidation>
    <dataValidation type="list" sqref="C37">
      <formula1>"Sí,No,No sabe"</formula1>
    </dataValidation>
    <dataValidation type="list" sqref="C38">
      <formula1>"Sí,No,No sabe"</formula1>
    </dataValidation>
    <dataValidation type="list" sqref="C39">
      <formula1>"Sí,No,No sabe"</formula1>
    </dataValidation>
    <dataValidation type="list" sqref="B32:B44">
      <formula1>"Sí,No,No sabe"</formula1>
    </dataValidation>
    <dataValidation type="list" sqref="B49:B60">
      <formula1>"Sí,No,No sabe"</formula1>
    </dataValidation>
    <dataValidation type="list" sqref="B65:B76">
      <formula1>"Sí,No,No sabe"</formula1>
    </dataValidation>
    <dataValidation type="list" sqref="C65:C76">
      <formula1>"Sí,No,No sabe"</formula1>
    </dataValidation>
    <dataValidation type="list" sqref="B81:B92">
      <formula1>"Sí,No,No sabe"</formula1>
    </dataValidation>
    <dataValidation type="list" sqref="B97:B102">
      <formula1>"Sí,No,No sabe"</formula1>
    </dataValidation>
    <dataValidation type="list" sqref="B107:B116">
      <formula1>"Sí,No,No sabe"</formula1>
    </dataValidation>
    <dataValidation type="list" sqref="B121:B130">
      <formula1>"Sí,No,No sabe"</formula1>
    </dataValidation>
    <dataValidation type="list" sqref="C135:C146">
      <formula1>"Sí,No,No sabe"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workbookViewId="0"/>
  </sheetViews>
  <sheetFormatPr baseColWidth="10" defaultColWidth="8.796875" defaultRowHeight="13.8"/>
  <cols>
    <col min="1" max="1" width="28" customWidth="1"/>
    <col min="2" max="2" width="16" customWidth="1"/>
    <col min="3" max="3" width="14" customWidth="1"/>
    <col min="4" max="4" width="52" customWidth="1"/>
    <col min="5" max="6" width="12" customWidth="1"/>
    <col min="7" max="9" width="18" customWidth="1"/>
  </cols>
  <sheetData>
    <row r="1" spans="1:9" ht="24" customHeight="1">
      <c r="A1" s="177" t="s">
        <v>1385</v>
      </c>
      <c r="B1" s="177"/>
      <c r="C1" s="177"/>
      <c r="D1" s="177"/>
      <c r="E1" s="177"/>
      <c r="F1" s="177"/>
      <c r="G1" s="177"/>
      <c r="H1" s="177"/>
      <c r="I1" s="88"/>
    </row>
    <row r="2" spans="1:9" ht="22.35" customHeight="1">
      <c r="A2" s="178" t="s">
        <v>1386</v>
      </c>
      <c r="B2" s="178"/>
      <c r="C2" s="178"/>
      <c r="D2" s="178"/>
      <c r="E2" s="178"/>
      <c r="F2" s="178"/>
      <c r="G2" s="178"/>
      <c r="H2" s="178"/>
      <c r="I2" s="89"/>
    </row>
    <row r="3" spans="1:9" ht="14.4">
      <c r="A3" s="75"/>
      <c r="B3" s="75"/>
      <c r="C3" s="75"/>
      <c r="D3" s="75"/>
      <c r="E3" s="75"/>
      <c r="F3" s="75"/>
      <c r="G3" s="75"/>
      <c r="H3" s="75"/>
      <c r="I3" s="75"/>
    </row>
    <row r="4" spans="1:9" ht="14.4">
      <c r="A4" s="90" t="s">
        <v>1387</v>
      </c>
      <c r="B4" s="90" t="s">
        <v>1388</v>
      </c>
      <c r="C4" s="90" t="s">
        <v>1389</v>
      </c>
      <c r="D4" s="90" t="s">
        <v>1390</v>
      </c>
      <c r="E4" s="90"/>
      <c r="F4" s="90"/>
      <c r="G4" s="90"/>
      <c r="H4" s="90"/>
      <c r="I4" s="90"/>
    </row>
    <row r="5" spans="1:9" ht="14.4">
      <c r="A5" s="75" t="s">
        <v>1391</v>
      </c>
      <c r="B5" s="122">
        <v>55</v>
      </c>
      <c r="C5" s="75" t="s">
        <v>893</v>
      </c>
      <c r="D5" s="75" t="s">
        <v>1392</v>
      </c>
      <c r="E5" s="75"/>
      <c r="F5" s="75"/>
      <c r="G5" s="75"/>
      <c r="H5" s="75"/>
      <c r="I5" s="75"/>
    </row>
    <row r="6" spans="1:9" ht="14.4">
      <c r="A6" s="75" t="s">
        <v>1393</v>
      </c>
      <c r="B6" s="122">
        <v>60</v>
      </c>
      <c r="C6" s="75" t="s">
        <v>893</v>
      </c>
      <c r="D6" s="75" t="s">
        <v>1392</v>
      </c>
      <c r="E6" s="75"/>
      <c r="F6" s="75"/>
      <c r="G6" s="75"/>
      <c r="H6" s="75"/>
      <c r="I6" s="75"/>
    </row>
    <row r="7" spans="1:9" ht="14.4">
      <c r="A7" s="75" t="s">
        <v>1394</v>
      </c>
      <c r="B7" s="122">
        <v>65</v>
      </c>
      <c r="C7" s="75" t="s">
        <v>893</v>
      </c>
      <c r="D7" s="75" t="s">
        <v>1392</v>
      </c>
      <c r="E7" s="75"/>
      <c r="F7" s="75"/>
      <c r="G7" s="75"/>
      <c r="H7" s="75"/>
      <c r="I7" s="75"/>
    </row>
    <row r="8" spans="1:9" ht="14.4">
      <c r="A8" s="75" t="s">
        <v>1395</v>
      </c>
      <c r="B8" s="123">
        <v>0.1</v>
      </c>
      <c r="C8" s="75" t="s">
        <v>901</v>
      </c>
      <c r="D8" s="75" t="s">
        <v>1396</v>
      </c>
      <c r="E8" s="75"/>
      <c r="F8" s="75"/>
      <c r="G8" s="75"/>
      <c r="H8" s="75"/>
      <c r="I8" s="75"/>
    </row>
    <row r="9" spans="1:9" ht="14.4">
      <c r="A9" s="75" t="s">
        <v>1397</v>
      </c>
      <c r="B9" s="123">
        <v>0.05</v>
      </c>
      <c r="C9" s="75" t="s">
        <v>901</v>
      </c>
      <c r="D9" s="75" t="s">
        <v>1398</v>
      </c>
      <c r="E9" s="75"/>
      <c r="F9" s="75"/>
      <c r="G9" s="75"/>
      <c r="H9" s="75"/>
      <c r="I9" s="75"/>
    </row>
    <row r="10" spans="1:9" ht="14.4">
      <c r="A10" s="181" t="s">
        <v>1399</v>
      </c>
      <c r="B10" s="184">
        <v>0.85</v>
      </c>
      <c r="C10" s="181" t="s">
        <v>901</v>
      </c>
      <c r="D10" s="181" t="s">
        <v>1400</v>
      </c>
      <c r="E10" s="181"/>
      <c r="F10" s="181"/>
      <c r="G10" s="181"/>
      <c r="H10" s="181"/>
      <c r="I10" s="181"/>
    </row>
    <row r="11" spans="1:9" ht="27.6">
      <c r="A11" s="76" t="s">
        <v>1401</v>
      </c>
      <c r="B11" s="124">
        <v>0.13</v>
      </c>
      <c r="C11" s="76" t="s">
        <v>901</v>
      </c>
      <c r="D11" s="76" t="s">
        <v>1402</v>
      </c>
      <c r="E11" s="76"/>
      <c r="F11" s="76"/>
      <c r="G11" s="76"/>
      <c r="H11" s="76"/>
      <c r="I11" s="76"/>
    </row>
    <row r="12" spans="1:9" ht="14.4">
      <c r="A12" s="75"/>
      <c r="B12" s="75"/>
      <c r="C12" s="75"/>
      <c r="D12" s="75"/>
      <c r="E12" s="75"/>
      <c r="F12" s="75"/>
      <c r="G12" s="75"/>
      <c r="H12" s="86"/>
      <c r="I12" s="86"/>
    </row>
    <row r="13" spans="1:9" ht="14.4">
      <c r="A13" s="182" t="s">
        <v>1403</v>
      </c>
      <c r="B13" s="182"/>
      <c r="C13" s="182"/>
      <c r="D13" s="182"/>
      <c r="E13" s="182"/>
      <c r="F13" s="182"/>
      <c r="G13" s="182"/>
      <c r="H13" s="183"/>
      <c r="I13" s="183"/>
    </row>
    <row r="14" spans="1:9" ht="14.4">
      <c r="A14" s="90" t="s">
        <v>5</v>
      </c>
      <c r="B14" s="90" t="s">
        <v>1404</v>
      </c>
      <c r="C14" s="90" t="s">
        <v>1405</v>
      </c>
      <c r="D14" s="90" t="s">
        <v>1406</v>
      </c>
      <c r="E14" s="90" t="s">
        <v>1407</v>
      </c>
      <c r="F14" s="90" t="s">
        <v>1408</v>
      </c>
      <c r="G14" s="90" t="s">
        <v>1409</v>
      </c>
      <c r="H14" s="120" t="s">
        <v>1410</v>
      </c>
      <c r="I14" s="120" t="s">
        <v>1411</v>
      </c>
    </row>
    <row r="15" spans="1:9" ht="14.4">
      <c r="A15" s="75">
        <v>1</v>
      </c>
      <c r="B15" s="75">
        <v>0</v>
      </c>
      <c r="C15" s="75">
        <v>20</v>
      </c>
      <c r="D15" s="75">
        <v>40</v>
      </c>
      <c r="E15" s="75">
        <v>55</v>
      </c>
      <c r="F15" s="75">
        <v>6</v>
      </c>
      <c r="G15" s="75">
        <v>8</v>
      </c>
      <c r="H15" s="86">
        <v>1800</v>
      </c>
      <c r="I15" s="86">
        <v>3000</v>
      </c>
    </row>
    <row r="16" spans="1:9" ht="14.4">
      <c r="A16" s="75">
        <v>2</v>
      </c>
      <c r="B16" s="75">
        <v>21</v>
      </c>
      <c r="C16" s="75">
        <v>40</v>
      </c>
      <c r="D16" s="75">
        <v>60</v>
      </c>
      <c r="E16" s="75">
        <v>85</v>
      </c>
      <c r="F16" s="75">
        <v>8</v>
      </c>
      <c r="G16" s="75">
        <v>12</v>
      </c>
      <c r="H16" s="86">
        <v>3000</v>
      </c>
      <c r="I16" s="86">
        <v>4500</v>
      </c>
    </row>
    <row r="17" spans="1:9" ht="14.4">
      <c r="A17" s="75">
        <v>3</v>
      </c>
      <c r="B17" s="75">
        <v>41</v>
      </c>
      <c r="C17" s="75">
        <v>60</v>
      </c>
      <c r="D17" s="75">
        <v>90</v>
      </c>
      <c r="E17" s="75">
        <v>130</v>
      </c>
      <c r="F17" s="75">
        <v>12</v>
      </c>
      <c r="G17" s="75">
        <v>16</v>
      </c>
      <c r="H17" s="75">
        <v>4500</v>
      </c>
      <c r="I17" s="75">
        <v>7000</v>
      </c>
    </row>
    <row r="18" spans="1:9" ht="14.4">
      <c r="A18" s="181">
        <v>4</v>
      </c>
      <c r="B18" s="181">
        <v>61</v>
      </c>
      <c r="C18" s="181">
        <v>80</v>
      </c>
      <c r="D18" s="181">
        <v>140</v>
      </c>
      <c r="E18" s="181">
        <v>200</v>
      </c>
      <c r="F18" s="181">
        <v>16</v>
      </c>
      <c r="G18" s="181">
        <v>24</v>
      </c>
      <c r="H18" s="181">
        <v>7000</v>
      </c>
      <c r="I18" s="181">
        <v>11000</v>
      </c>
    </row>
    <row r="19" spans="1:9" ht="14.4">
      <c r="A19" s="76">
        <v>5</v>
      </c>
      <c r="B19" s="76">
        <v>81</v>
      </c>
      <c r="C19" s="76">
        <v>100</v>
      </c>
      <c r="D19" s="76">
        <v>220</v>
      </c>
      <c r="E19" s="76">
        <v>320</v>
      </c>
      <c r="F19" s="76">
        <v>24</v>
      </c>
      <c r="G19" s="76">
        <v>36</v>
      </c>
      <c r="H19" s="76">
        <v>11000</v>
      </c>
      <c r="I19" s="76">
        <v>18000</v>
      </c>
    </row>
    <row r="20" spans="1:9" ht="14.4">
      <c r="A20" s="75"/>
      <c r="B20" s="75"/>
      <c r="C20" s="75"/>
      <c r="D20" s="75"/>
      <c r="E20" s="75"/>
      <c r="F20" s="75"/>
      <c r="G20" s="75"/>
      <c r="H20" s="86"/>
      <c r="I20" s="86"/>
    </row>
    <row r="21" spans="1:9" ht="14.4">
      <c r="A21" s="182" t="s">
        <v>1412</v>
      </c>
      <c r="B21" s="182"/>
      <c r="C21" s="182"/>
      <c r="D21" s="182"/>
      <c r="E21" s="182"/>
      <c r="F21" s="182"/>
      <c r="G21" s="182"/>
      <c r="H21" s="183"/>
      <c r="I21" s="183"/>
    </row>
    <row r="22" spans="1:9" ht="14.4">
      <c r="A22" s="90" t="s">
        <v>5</v>
      </c>
      <c r="B22" s="90" t="s">
        <v>1404</v>
      </c>
      <c r="C22" s="90" t="s">
        <v>1405</v>
      </c>
      <c r="D22" s="90" t="s">
        <v>1406</v>
      </c>
      <c r="E22" s="90" t="s">
        <v>1407</v>
      </c>
      <c r="F22" s="90" t="s">
        <v>1408</v>
      </c>
      <c r="G22" s="90" t="s">
        <v>1409</v>
      </c>
      <c r="H22" s="120" t="s">
        <v>1410</v>
      </c>
      <c r="I22" s="120" t="s">
        <v>1411</v>
      </c>
    </row>
    <row r="23" spans="1:9" ht="14.4">
      <c r="A23" s="75">
        <v>1</v>
      </c>
      <c r="B23" s="75">
        <v>0</v>
      </c>
      <c r="C23" s="75">
        <v>20</v>
      </c>
      <c r="D23" s="75">
        <v>12</v>
      </c>
      <c r="E23" s="75">
        <v>18</v>
      </c>
      <c r="F23" s="75">
        <v>1</v>
      </c>
      <c r="G23" s="75">
        <v>2</v>
      </c>
      <c r="H23" s="86">
        <v>700</v>
      </c>
      <c r="I23" s="86">
        <v>1200</v>
      </c>
    </row>
    <row r="24" spans="1:9" ht="14.4">
      <c r="A24" s="75">
        <v>2</v>
      </c>
      <c r="B24" s="75">
        <v>21</v>
      </c>
      <c r="C24" s="75">
        <v>40</v>
      </c>
      <c r="D24" s="75">
        <v>20</v>
      </c>
      <c r="E24" s="75">
        <v>30</v>
      </c>
      <c r="F24" s="75">
        <v>2</v>
      </c>
      <c r="G24" s="75">
        <v>3</v>
      </c>
      <c r="H24" s="86">
        <v>1200</v>
      </c>
      <c r="I24" s="86">
        <v>1800</v>
      </c>
    </row>
    <row r="25" spans="1:9" ht="14.4">
      <c r="A25" s="75">
        <v>3</v>
      </c>
      <c r="B25" s="75">
        <v>41</v>
      </c>
      <c r="C25" s="75">
        <v>60</v>
      </c>
      <c r="D25" s="75">
        <v>35</v>
      </c>
      <c r="E25" s="75">
        <v>50</v>
      </c>
      <c r="F25" s="75">
        <v>3</v>
      </c>
      <c r="G25" s="75">
        <v>5</v>
      </c>
      <c r="H25" s="75">
        <v>1800</v>
      </c>
      <c r="I25" s="75">
        <v>3000</v>
      </c>
    </row>
    <row r="26" spans="1:9" ht="14.4">
      <c r="A26" s="181">
        <v>4</v>
      </c>
      <c r="B26" s="181">
        <v>61</v>
      </c>
      <c r="C26" s="181">
        <v>80</v>
      </c>
      <c r="D26" s="181">
        <v>55</v>
      </c>
      <c r="E26" s="181">
        <v>80</v>
      </c>
      <c r="F26" s="181">
        <v>5</v>
      </c>
      <c r="G26" s="181">
        <v>7</v>
      </c>
      <c r="H26" s="181">
        <v>3000</v>
      </c>
      <c r="I26" s="75">
        <v>4500</v>
      </c>
    </row>
    <row r="27" spans="1:9" ht="14.4">
      <c r="A27" s="76">
        <v>5</v>
      </c>
      <c r="B27" s="76">
        <v>81</v>
      </c>
      <c r="C27" s="76">
        <v>100</v>
      </c>
      <c r="D27" s="76">
        <v>90</v>
      </c>
      <c r="E27" s="76">
        <v>130</v>
      </c>
      <c r="F27" s="76">
        <v>6</v>
      </c>
      <c r="G27" s="76">
        <v>10</v>
      </c>
      <c r="H27" s="76">
        <v>4500</v>
      </c>
      <c r="I27" s="75">
        <v>7000</v>
      </c>
    </row>
    <row r="28" spans="1:9" ht="14.4">
      <c r="A28" s="75"/>
      <c r="B28" s="75"/>
      <c r="C28" s="75"/>
      <c r="D28" s="75"/>
      <c r="E28" s="86"/>
      <c r="F28" s="86"/>
      <c r="G28" s="75"/>
      <c r="H28" s="75"/>
      <c r="I28" s="75"/>
    </row>
    <row r="29" spans="1:9" ht="14.4">
      <c r="A29" s="182" t="s">
        <v>1413</v>
      </c>
      <c r="B29" s="182"/>
      <c r="C29" s="182"/>
      <c r="D29" s="182"/>
      <c r="E29" s="183"/>
      <c r="F29" s="183"/>
      <c r="G29" s="182"/>
      <c r="H29" s="182"/>
      <c r="I29" s="182"/>
    </row>
    <row r="30" spans="1:9" ht="14.4">
      <c r="A30" s="90" t="s">
        <v>5</v>
      </c>
      <c r="B30" s="90" t="s">
        <v>1404</v>
      </c>
      <c r="C30" s="90" t="s">
        <v>1405</v>
      </c>
      <c r="D30" s="90" t="s">
        <v>1414</v>
      </c>
      <c r="E30" s="120" t="s">
        <v>1415</v>
      </c>
      <c r="F30" s="120" t="s">
        <v>1416</v>
      </c>
      <c r="G30" s="90" t="s">
        <v>888</v>
      </c>
      <c r="H30" s="90" t="s">
        <v>1417</v>
      </c>
      <c r="I30" s="90"/>
    </row>
    <row r="31" spans="1:9" ht="27.6">
      <c r="A31" s="75">
        <v>1</v>
      </c>
      <c r="B31" s="75">
        <v>0</v>
      </c>
      <c r="C31" s="75">
        <v>20</v>
      </c>
      <c r="D31" s="75">
        <v>4</v>
      </c>
      <c r="E31" s="86">
        <v>250</v>
      </c>
      <c r="F31" s="86">
        <v>350</v>
      </c>
      <c r="G31" s="75" t="s">
        <v>1097</v>
      </c>
      <c r="H31" s="75" t="s">
        <v>1418</v>
      </c>
      <c r="I31" s="75"/>
    </row>
    <row r="32" spans="1:9" ht="27.6">
      <c r="A32" s="75">
        <v>2</v>
      </c>
      <c r="B32" s="75">
        <v>21</v>
      </c>
      <c r="C32" s="75">
        <v>40</v>
      </c>
      <c r="D32" s="75">
        <v>6</v>
      </c>
      <c r="E32" s="86">
        <v>350</v>
      </c>
      <c r="F32" s="86">
        <v>500</v>
      </c>
      <c r="G32" s="75" t="s">
        <v>1097</v>
      </c>
      <c r="H32" s="75" t="s">
        <v>1419</v>
      </c>
      <c r="I32" s="75"/>
    </row>
    <row r="33" spans="1:9" ht="41.4">
      <c r="A33" s="75">
        <v>3</v>
      </c>
      <c r="B33" s="75">
        <v>41</v>
      </c>
      <c r="C33" s="75">
        <v>60</v>
      </c>
      <c r="D33" s="75">
        <v>10</v>
      </c>
      <c r="E33" s="75">
        <v>550</v>
      </c>
      <c r="F33" s="75">
        <v>750</v>
      </c>
      <c r="G33" s="75" t="s">
        <v>1420</v>
      </c>
      <c r="H33" s="75" t="s">
        <v>1421</v>
      </c>
      <c r="I33" s="75"/>
    </row>
    <row r="34" spans="1:9" ht="41.4">
      <c r="A34" s="84">
        <v>4</v>
      </c>
      <c r="B34" s="84">
        <v>61</v>
      </c>
      <c r="C34" s="84">
        <v>80</v>
      </c>
      <c r="D34" s="75">
        <v>16</v>
      </c>
      <c r="E34" s="75">
        <v>850</v>
      </c>
      <c r="F34" s="75">
        <v>1200</v>
      </c>
      <c r="G34" s="75" t="s">
        <v>1422</v>
      </c>
      <c r="H34" s="75" t="s">
        <v>1423</v>
      </c>
      <c r="I34" s="75"/>
    </row>
    <row r="35" spans="1:9" ht="27.6">
      <c r="A35" s="75">
        <v>5</v>
      </c>
      <c r="B35" s="75">
        <v>81</v>
      </c>
      <c r="C35" s="87">
        <v>100</v>
      </c>
      <c r="D35" s="75">
        <v>24</v>
      </c>
      <c r="E35" s="75">
        <v>1250</v>
      </c>
      <c r="F35" s="75">
        <v>1800</v>
      </c>
      <c r="G35" s="75" t="s">
        <v>1424</v>
      </c>
      <c r="H35" s="75" t="s">
        <v>1425</v>
      </c>
      <c r="I35" s="75"/>
    </row>
    <row r="36" spans="1:9" ht="14.4">
      <c r="A36" s="75"/>
      <c r="B36" s="75"/>
      <c r="C36" s="87"/>
      <c r="D36" s="75"/>
      <c r="E36" s="75"/>
      <c r="F36" s="75"/>
      <c r="G36" s="75"/>
      <c r="H36" s="75"/>
      <c r="I36" s="75"/>
    </row>
    <row r="37" spans="1:9" ht="14.4">
      <c r="A37" s="75"/>
      <c r="B37" s="75"/>
      <c r="C37" s="87"/>
      <c r="D37" s="75"/>
      <c r="E37" s="75"/>
      <c r="F37" s="75"/>
      <c r="G37" s="75"/>
      <c r="H37" s="75"/>
      <c r="I37" s="75"/>
    </row>
    <row r="38" spans="1:9" ht="14.4">
      <c r="A38" s="90" t="s">
        <v>1426</v>
      </c>
      <c r="B38" s="90" t="s">
        <v>4</v>
      </c>
      <c r="C38" s="121" t="s">
        <v>1427</v>
      </c>
      <c r="D38" s="90"/>
      <c r="E38" s="90"/>
      <c r="F38" s="90"/>
      <c r="G38" s="90"/>
      <c r="H38" s="90"/>
      <c r="I38" s="90"/>
    </row>
    <row r="39" spans="1:9" ht="14.4">
      <c r="A39" s="75" t="s">
        <v>1428</v>
      </c>
      <c r="B39" s="75">
        <v>0</v>
      </c>
      <c r="C39" s="87">
        <v>1</v>
      </c>
      <c r="D39" s="75"/>
      <c r="E39" s="75"/>
      <c r="F39" s="75"/>
      <c r="G39" s="75"/>
      <c r="H39" s="75"/>
      <c r="I39" s="75"/>
    </row>
    <row r="40" spans="1:9" ht="14.4">
      <c r="A40" s="75" t="s">
        <v>1429</v>
      </c>
      <c r="B40" s="75">
        <v>1</v>
      </c>
      <c r="C40" s="87">
        <v>1.05</v>
      </c>
      <c r="D40" s="75"/>
      <c r="E40" s="75"/>
      <c r="F40" s="75"/>
      <c r="G40" s="75"/>
      <c r="H40" s="75"/>
      <c r="I40" s="75"/>
    </row>
    <row r="41" spans="1:9" ht="14.4">
      <c r="A41" s="75" t="s">
        <v>1430</v>
      </c>
      <c r="B41" s="75">
        <v>2</v>
      </c>
      <c r="C41" s="75">
        <v>1.1499999999999999</v>
      </c>
      <c r="D41" s="75"/>
      <c r="E41" s="75"/>
      <c r="F41" s="75"/>
      <c r="G41" s="75"/>
      <c r="H41" s="75"/>
      <c r="I41" s="75"/>
    </row>
    <row r="42" spans="1:9" ht="14.4">
      <c r="A42" s="75" t="s">
        <v>1431</v>
      </c>
      <c r="B42" s="75">
        <v>3</v>
      </c>
      <c r="C42" s="75">
        <v>1.3</v>
      </c>
      <c r="D42" s="75"/>
      <c r="E42" s="75"/>
      <c r="F42" s="75"/>
      <c r="G42" s="75"/>
      <c r="H42" s="75"/>
      <c r="I42" s="75"/>
    </row>
    <row r="43" spans="1:9" ht="14.4">
      <c r="A43" s="84" t="s">
        <v>1432</v>
      </c>
      <c r="B43" s="84">
        <v>4</v>
      </c>
      <c r="C43" s="84">
        <v>1.5</v>
      </c>
      <c r="D43" s="84"/>
      <c r="E43" s="75"/>
      <c r="F43" s="75"/>
      <c r="G43" s="75"/>
      <c r="H43" s="75"/>
      <c r="I43" s="75"/>
    </row>
    <row r="44" spans="1:9" ht="14.4">
      <c r="A44" s="75" t="s">
        <v>1433</v>
      </c>
      <c r="B44" s="75">
        <v>4</v>
      </c>
      <c r="C44" s="75">
        <v>1.5</v>
      </c>
      <c r="D44" s="75"/>
      <c r="E44" s="75"/>
      <c r="F44" s="75"/>
      <c r="G44" s="75"/>
      <c r="H44" s="75"/>
      <c r="I44" s="75"/>
    </row>
    <row r="45" spans="1:9" ht="14.4">
      <c r="A45" s="75"/>
      <c r="B45" s="75"/>
      <c r="C45" s="75"/>
      <c r="D45" s="75"/>
      <c r="E45" s="75"/>
      <c r="F45" s="75"/>
      <c r="G45" s="75"/>
      <c r="H45" s="75"/>
      <c r="I45" s="75"/>
    </row>
    <row r="46" spans="1:9" ht="14.4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4.4">
      <c r="A47" s="90" t="s">
        <v>1434</v>
      </c>
      <c r="B47" s="90" t="s">
        <v>19</v>
      </c>
      <c r="C47" s="90" t="s">
        <v>1119</v>
      </c>
      <c r="D47" s="90" t="s">
        <v>4</v>
      </c>
      <c r="E47" s="90"/>
      <c r="F47" s="90"/>
      <c r="G47" s="90"/>
      <c r="H47" s="90"/>
      <c r="I47" s="90"/>
    </row>
    <row r="48" spans="1:9" ht="14.4">
      <c r="A48" s="75" t="s">
        <v>1435</v>
      </c>
      <c r="B48" s="75" t="s">
        <v>1078</v>
      </c>
      <c r="C48" s="75" t="s">
        <v>1436</v>
      </c>
      <c r="D48" s="75">
        <v>0</v>
      </c>
      <c r="E48" s="75"/>
      <c r="F48" s="75"/>
      <c r="G48" s="75"/>
      <c r="H48" s="75"/>
      <c r="I48" s="75"/>
    </row>
    <row r="49" spans="1:9" ht="14.4">
      <c r="A49" s="75" t="s">
        <v>1437</v>
      </c>
      <c r="B49" s="75" t="s">
        <v>1078</v>
      </c>
      <c r="C49" s="75" t="s">
        <v>1438</v>
      </c>
      <c r="D49" s="75">
        <v>1</v>
      </c>
      <c r="E49" s="75"/>
      <c r="F49" s="75"/>
      <c r="G49" s="75"/>
      <c r="H49" s="75"/>
      <c r="I49" s="75"/>
    </row>
    <row r="50" spans="1:9" ht="14.4">
      <c r="A50" s="75" t="s">
        <v>1439</v>
      </c>
      <c r="B50" s="75" t="s">
        <v>1078</v>
      </c>
      <c r="C50" s="75" t="s">
        <v>1440</v>
      </c>
      <c r="D50" s="75">
        <v>2</v>
      </c>
      <c r="E50" s="75"/>
      <c r="F50" s="75"/>
      <c r="G50" s="75"/>
      <c r="H50" s="75"/>
      <c r="I50" s="75"/>
    </row>
    <row r="51" spans="1:9" ht="14.4">
      <c r="A51" s="75" t="s">
        <v>1441</v>
      </c>
      <c r="B51" s="75" t="s">
        <v>1078</v>
      </c>
      <c r="C51" s="75" t="s">
        <v>1442</v>
      </c>
      <c r="D51" s="75">
        <v>3</v>
      </c>
      <c r="E51" s="75"/>
      <c r="F51" s="75"/>
      <c r="G51" s="75"/>
      <c r="H51" s="75"/>
      <c r="I51" s="75"/>
    </row>
    <row r="52" spans="1:9" ht="14.4">
      <c r="A52" s="75" t="s">
        <v>1443</v>
      </c>
      <c r="B52" s="75" t="s">
        <v>1078</v>
      </c>
      <c r="C52" s="75" t="s">
        <v>1444</v>
      </c>
      <c r="D52" s="75">
        <v>4</v>
      </c>
      <c r="E52" s="75"/>
      <c r="F52" s="75"/>
      <c r="G52" s="75"/>
      <c r="H52" s="75"/>
      <c r="I52" s="75"/>
    </row>
    <row r="53" spans="1:9" ht="14.4">
      <c r="A53" s="75" t="s">
        <v>1445</v>
      </c>
      <c r="B53" s="75" t="s">
        <v>1078</v>
      </c>
      <c r="C53" s="75" t="s">
        <v>1433</v>
      </c>
      <c r="D53" s="75">
        <v>4</v>
      </c>
      <c r="E53" s="75"/>
      <c r="F53" s="75"/>
      <c r="G53" s="75"/>
      <c r="H53" s="75"/>
      <c r="I53" s="75"/>
    </row>
    <row r="54" spans="1:9" ht="14.4">
      <c r="A54" s="75" t="s">
        <v>1446</v>
      </c>
      <c r="B54" s="75" t="s">
        <v>1079</v>
      </c>
      <c r="C54" s="75" t="s">
        <v>1447</v>
      </c>
      <c r="D54" s="75">
        <v>0</v>
      </c>
      <c r="E54" s="75"/>
      <c r="F54" s="75"/>
      <c r="G54" s="75"/>
      <c r="H54" s="75"/>
      <c r="I54" s="75"/>
    </row>
    <row r="55" spans="1:9" ht="14.4">
      <c r="A55" s="75" t="s">
        <v>1448</v>
      </c>
      <c r="B55" s="75" t="s">
        <v>1079</v>
      </c>
      <c r="C55" s="75" t="s">
        <v>1449</v>
      </c>
      <c r="D55" s="75">
        <v>1</v>
      </c>
      <c r="E55" s="75"/>
      <c r="F55" s="75"/>
      <c r="G55" s="75"/>
      <c r="H55" s="75"/>
      <c r="I55" s="75"/>
    </row>
    <row r="56" spans="1:9" ht="14.4">
      <c r="A56" s="75" t="s">
        <v>1450</v>
      </c>
      <c r="B56" s="75" t="s">
        <v>1079</v>
      </c>
      <c r="C56" s="75" t="s">
        <v>1451</v>
      </c>
      <c r="D56" s="75">
        <v>2</v>
      </c>
      <c r="E56" s="75"/>
      <c r="F56" s="75"/>
      <c r="G56" s="75"/>
      <c r="H56" s="75"/>
      <c r="I56" s="75"/>
    </row>
    <row r="57" spans="1:9" ht="14.4">
      <c r="A57" s="75" t="s">
        <v>1452</v>
      </c>
      <c r="B57" s="75" t="s">
        <v>1079</v>
      </c>
      <c r="C57" s="75" t="s">
        <v>1453</v>
      </c>
      <c r="D57" s="75">
        <v>3</v>
      </c>
      <c r="E57" s="75"/>
      <c r="F57" s="75"/>
      <c r="G57" s="75"/>
      <c r="H57" s="75"/>
      <c r="I57" s="75"/>
    </row>
    <row r="58" spans="1:9" ht="14.4">
      <c r="A58" s="75" t="s">
        <v>1454</v>
      </c>
      <c r="B58" s="75" t="s">
        <v>1079</v>
      </c>
      <c r="C58" s="75" t="s">
        <v>1455</v>
      </c>
      <c r="D58" s="75">
        <v>4</v>
      </c>
      <c r="E58" s="75"/>
      <c r="F58" s="75"/>
      <c r="G58" s="75"/>
      <c r="H58" s="75"/>
      <c r="I58" s="75"/>
    </row>
    <row r="59" spans="1:9" ht="14.4">
      <c r="A59" s="75" t="s">
        <v>1456</v>
      </c>
      <c r="B59" s="75" t="s">
        <v>1079</v>
      </c>
      <c r="C59" s="75" t="s">
        <v>1433</v>
      </c>
      <c r="D59" s="75">
        <v>4</v>
      </c>
      <c r="E59" s="75"/>
      <c r="F59" s="75"/>
      <c r="G59" s="75"/>
      <c r="H59" s="75"/>
      <c r="I59" s="75"/>
    </row>
    <row r="60" spans="1:9" ht="14.4">
      <c r="A60" s="75" t="s">
        <v>1457</v>
      </c>
      <c r="B60" s="75" t="s">
        <v>1081</v>
      </c>
      <c r="C60" s="75" t="s">
        <v>1458</v>
      </c>
      <c r="D60" s="75">
        <v>0</v>
      </c>
      <c r="E60" s="75"/>
      <c r="F60" s="75"/>
      <c r="G60" s="75"/>
      <c r="H60" s="75"/>
      <c r="I60" s="75"/>
    </row>
    <row r="61" spans="1:9" ht="14.4">
      <c r="A61" s="75" t="s">
        <v>1459</v>
      </c>
      <c r="B61" s="75" t="s">
        <v>1081</v>
      </c>
      <c r="C61" s="75" t="s">
        <v>1460</v>
      </c>
      <c r="D61" s="75">
        <v>1</v>
      </c>
      <c r="E61" s="75"/>
      <c r="F61" s="75"/>
      <c r="G61" s="75"/>
      <c r="H61" s="75"/>
      <c r="I61" s="75"/>
    </row>
    <row r="62" spans="1:9" ht="14.4">
      <c r="A62" s="75" t="s">
        <v>1461</v>
      </c>
      <c r="B62" s="75" t="s">
        <v>1081</v>
      </c>
      <c r="C62" s="75" t="s">
        <v>1462</v>
      </c>
      <c r="D62" s="75">
        <v>2</v>
      </c>
      <c r="E62" s="75"/>
      <c r="F62" s="75"/>
      <c r="G62" s="75"/>
      <c r="H62" s="75"/>
      <c r="I62" s="75"/>
    </row>
    <row r="63" spans="1:9" ht="14.4">
      <c r="A63" s="75" t="s">
        <v>1463</v>
      </c>
      <c r="B63" s="75" t="s">
        <v>1081</v>
      </c>
      <c r="C63" s="75" t="s">
        <v>1464</v>
      </c>
      <c r="D63" s="75">
        <v>3</v>
      </c>
      <c r="E63" s="75"/>
      <c r="F63" s="75"/>
      <c r="G63" s="75"/>
      <c r="H63" s="75"/>
      <c r="I63" s="75"/>
    </row>
    <row r="64" spans="1:9" ht="14.4">
      <c r="A64" s="75" t="s">
        <v>1465</v>
      </c>
      <c r="B64" s="75" t="s">
        <v>1081</v>
      </c>
      <c r="C64" s="75" t="s">
        <v>1466</v>
      </c>
      <c r="D64" s="75">
        <v>4</v>
      </c>
      <c r="E64" s="75"/>
      <c r="F64" s="75"/>
      <c r="G64" s="75"/>
      <c r="H64" s="75"/>
      <c r="I64" s="75"/>
    </row>
    <row r="65" spans="1:9" ht="14.4">
      <c r="A65" s="75" t="s">
        <v>1467</v>
      </c>
      <c r="B65" s="75" t="s">
        <v>1081</v>
      </c>
      <c r="C65" s="75" t="s">
        <v>1433</v>
      </c>
      <c r="D65" s="75">
        <v>4</v>
      </c>
      <c r="E65" s="75"/>
      <c r="F65" s="75"/>
      <c r="G65" s="75"/>
      <c r="H65" s="75"/>
      <c r="I65" s="75"/>
    </row>
    <row r="66" spans="1:9" ht="14.4">
      <c r="A66" s="75" t="s">
        <v>1468</v>
      </c>
      <c r="B66" s="75" t="s">
        <v>1091</v>
      </c>
      <c r="C66" s="75" t="s">
        <v>1469</v>
      </c>
      <c r="D66" s="75">
        <v>0</v>
      </c>
      <c r="E66" s="75"/>
      <c r="F66" s="75"/>
      <c r="G66" s="75"/>
      <c r="H66" s="75"/>
      <c r="I66" s="75"/>
    </row>
    <row r="67" spans="1:9" ht="14.4">
      <c r="A67" s="75" t="s">
        <v>1470</v>
      </c>
      <c r="B67" s="75" t="s">
        <v>1091</v>
      </c>
      <c r="C67" s="75" t="s">
        <v>1471</v>
      </c>
      <c r="D67" s="75">
        <v>1</v>
      </c>
      <c r="E67" s="75"/>
      <c r="F67" s="75"/>
      <c r="G67" s="75"/>
      <c r="H67" s="75"/>
      <c r="I67" s="75"/>
    </row>
    <row r="68" spans="1:9" ht="14.4">
      <c r="A68" s="75" t="s">
        <v>1472</v>
      </c>
      <c r="B68" s="75" t="s">
        <v>1091</v>
      </c>
      <c r="C68" s="75" t="s">
        <v>1473</v>
      </c>
      <c r="D68" s="75">
        <v>2</v>
      </c>
      <c r="E68" s="75"/>
      <c r="F68" s="75"/>
      <c r="G68" s="75"/>
      <c r="H68" s="75"/>
      <c r="I68" s="75"/>
    </row>
    <row r="69" spans="1:9" ht="14.4">
      <c r="A69" s="75" t="s">
        <v>1474</v>
      </c>
      <c r="B69" s="75" t="s">
        <v>1091</v>
      </c>
      <c r="C69" s="75" t="s">
        <v>1475</v>
      </c>
      <c r="D69" s="75">
        <v>3</v>
      </c>
      <c r="E69" s="75"/>
      <c r="F69" s="75"/>
      <c r="G69" s="75"/>
      <c r="H69" s="75"/>
      <c r="I69" s="75"/>
    </row>
    <row r="70" spans="1:9" ht="14.4">
      <c r="A70" s="75" t="s">
        <v>1476</v>
      </c>
      <c r="B70" s="75" t="s">
        <v>1091</v>
      </c>
      <c r="C70" s="75" t="s">
        <v>1477</v>
      </c>
      <c r="D70" s="75">
        <v>4</v>
      </c>
      <c r="E70" s="75"/>
      <c r="F70" s="75"/>
      <c r="G70" s="75"/>
      <c r="H70" s="75"/>
      <c r="I70" s="75"/>
    </row>
    <row r="71" spans="1:9" ht="14.4">
      <c r="A71" s="75" t="s">
        <v>1478</v>
      </c>
      <c r="B71" s="75" t="s">
        <v>1091</v>
      </c>
      <c r="C71" s="75" t="s">
        <v>1433</v>
      </c>
      <c r="D71" s="75">
        <v>4</v>
      </c>
      <c r="E71" s="75"/>
      <c r="F71" s="75"/>
      <c r="G71" s="75"/>
      <c r="H71" s="75"/>
      <c r="I71" s="75"/>
    </row>
    <row r="72" spans="1:9" ht="14.4">
      <c r="A72" s="75" t="s">
        <v>1479</v>
      </c>
      <c r="B72" s="75" t="s">
        <v>1094</v>
      </c>
      <c r="C72" s="75" t="s">
        <v>1480</v>
      </c>
      <c r="D72" s="75">
        <v>0</v>
      </c>
      <c r="E72" s="75"/>
      <c r="F72" s="75"/>
      <c r="G72" s="75"/>
      <c r="H72" s="75"/>
      <c r="I72" s="75"/>
    </row>
    <row r="73" spans="1:9" ht="14.4">
      <c r="A73" s="75" t="s">
        <v>1481</v>
      </c>
      <c r="B73" s="75" t="s">
        <v>1094</v>
      </c>
      <c r="C73" s="75" t="s">
        <v>1482</v>
      </c>
      <c r="D73" s="75">
        <v>1</v>
      </c>
      <c r="E73" s="75"/>
      <c r="F73" s="75"/>
      <c r="G73" s="75"/>
      <c r="H73" s="75"/>
      <c r="I73" s="75"/>
    </row>
    <row r="74" spans="1:9" ht="14.4">
      <c r="A74" s="75" t="s">
        <v>1483</v>
      </c>
      <c r="B74" s="75" t="s">
        <v>1094</v>
      </c>
      <c r="C74" s="75" t="s">
        <v>1484</v>
      </c>
      <c r="D74" s="75">
        <v>2</v>
      </c>
      <c r="E74" s="75"/>
      <c r="F74" s="75"/>
      <c r="G74" s="75"/>
      <c r="H74" s="75"/>
      <c r="I74" s="75"/>
    </row>
    <row r="75" spans="1:9" ht="14.4">
      <c r="A75" s="75" t="s">
        <v>1485</v>
      </c>
      <c r="B75" s="75" t="s">
        <v>1094</v>
      </c>
      <c r="C75" s="75" t="s">
        <v>1486</v>
      </c>
      <c r="D75" s="75">
        <v>3</v>
      </c>
      <c r="E75" s="75"/>
      <c r="F75" s="75"/>
      <c r="G75" s="75"/>
      <c r="H75" s="75"/>
      <c r="I75" s="75"/>
    </row>
    <row r="76" spans="1:9" ht="27.6">
      <c r="A76" s="75" t="s">
        <v>1487</v>
      </c>
      <c r="B76" s="75" t="s">
        <v>1094</v>
      </c>
      <c r="C76" s="75" t="s">
        <v>1488</v>
      </c>
      <c r="D76" s="75">
        <v>4</v>
      </c>
      <c r="E76" s="75"/>
      <c r="F76" s="75"/>
      <c r="G76" s="75"/>
      <c r="H76" s="75"/>
      <c r="I76" s="75"/>
    </row>
    <row r="77" spans="1:9" ht="14.4">
      <c r="A77" s="75" t="s">
        <v>1489</v>
      </c>
      <c r="B77" s="75" t="s">
        <v>1094</v>
      </c>
      <c r="C77" s="75" t="s">
        <v>1433</v>
      </c>
      <c r="D77" s="75">
        <v>4</v>
      </c>
      <c r="E77" s="75"/>
      <c r="F77" s="75"/>
      <c r="G77" s="75"/>
      <c r="H77" s="75"/>
      <c r="I77" s="75"/>
    </row>
    <row r="78" spans="1:9" ht="14.4">
      <c r="A78" s="75" t="s">
        <v>1490</v>
      </c>
      <c r="B78" s="75" t="s">
        <v>1096</v>
      </c>
      <c r="C78" s="75" t="s">
        <v>1491</v>
      </c>
      <c r="D78" s="75">
        <v>0</v>
      </c>
      <c r="E78" s="75"/>
      <c r="F78" s="75"/>
      <c r="G78" s="75"/>
      <c r="H78" s="75"/>
      <c r="I78" s="75"/>
    </row>
    <row r="79" spans="1:9" ht="14.4">
      <c r="A79" s="75" t="s">
        <v>1492</v>
      </c>
      <c r="B79" s="75" t="s">
        <v>1096</v>
      </c>
      <c r="C79" s="75" t="s">
        <v>1493</v>
      </c>
      <c r="D79" s="75">
        <v>1</v>
      </c>
      <c r="E79" s="75"/>
      <c r="F79" s="75"/>
      <c r="G79" s="75"/>
      <c r="H79" s="75"/>
      <c r="I79" s="75"/>
    </row>
    <row r="80" spans="1:9" ht="14.4">
      <c r="A80" s="75" t="s">
        <v>1494</v>
      </c>
      <c r="B80" s="75" t="s">
        <v>1096</v>
      </c>
      <c r="C80" s="75" t="s">
        <v>1495</v>
      </c>
      <c r="D80" s="75">
        <v>2</v>
      </c>
      <c r="E80" s="75"/>
      <c r="F80" s="75"/>
      <c r="G80" s="75"/>
      <c r="H80" s="75"/>
      <c r="I80" s="75"/>
    </row>
    <row r="81" spans="1:9" ht="14.4">
      <c r="A81" s="75" t="s">
        <v>1496</v>
      </c>
      <c r="B81" s="75" t="s">
        <v>1096</v>
      </c>
      <c r="C81" s="75" t="s">
        <v>1497</v>
      </c>
      <c r="D81" s="75">
        <v>3</v>
      </c>
      <c r="E81" s="75"/>
      <c r="F81" s="75"/>
      <c r="G81" s="75"/>
      <c r="H81" s="75"/>
      <c r="I81" s="75"/>
    </row>
    <row r="82" spans="1:9" ht="14.4">
      <c r="A82" s="75" t="s">
        <v>1498</v>
      </c>
      <c r="B82" s="75" t="s">
        <v>1096</v>
      </c>
      <c r="C82" s="75" t="s">
        <v>1499</v>
      </c>
      <c r="D82" s="75">
        <v>4</v>
      </c>
      <c r="E82" s="75"/>
      <c r="F82" s="75"/>
      <c r="G82" s="75"/>
      <c r="H82" s="75"/>
      <c r="I82" s="75"/>
    </row>
    <row r="83" spans="1:9" ht="14.4">
      <c r="A83" s="75" t="s">
        <v>1500</v>
      </c>
      <c r="B83" s="75" t="s">
        <v>1096</v>
      </c>
      <c r="C83" s="75" t="s">
        <v>1433</v>
      </c>
      <c r="D83" s="75">
        <v>4</v>
      </c>
      <c r="E83" s="75"/>
      <c r="F83" s="75"/>
      <c r="G83" s="75"/>
      <c r="H83" s="75"/>
      <c r="I83" s="75"/>
    </row>
    <row r="84" spans="1:9" ht="14.4">
      <c r="A84" s="75" t="s">
        <v>1501</v>
      </c>
      <c r="B84" s="75" t="s">
        <v>1099</v>
      </c>
      <c r="C84" s="75" t="s">
        <v>1502</v>
      </c>
      <c r="D84" s="75">
        <v>0</v>
      </c>
      <c r="E84" s="75"/>
      <c r="F84" s="75"/>
      <c r="G84" s="75"/>
      <c r="H84" s="75"/>
      <c r="I84" s="75"/>
    </row>
    <row r="85" spans="1:9" ht="14.4">
      <c r="A85" s="75" t="s">
        <v>1503</v>
      </c>
      <c r="B85" s="75" t="s">
        <v>1099</v>
      </c>
      <c r="C85" s="75" t="s">
        <v>1504</v>
      </c>
      <c r="D85" s="75">
        <v>1</v>
      </c>
      <c r="E85" s="75"/>
      <c r="F85" s="75"/>
      <c r="G85" s="75"/>
      <c r="H85" s="75"/>
      <c r="I85" s="75"/>
    </row>
    <row r="86" spans="1:9" ht="14.4">
      <c r="A86" s="75" t="s">
        <v>1505</v>
      </c>
      <c r="B86" s="75" t="s">
        <v>1099</v>
      </c>
      <c r="C86" s="75" t="s">
        <v>1506</v>
      </c>
      <c r="D86" s="75">
        <v>2</v>
      </c>
      <c r="E86" s="75"/>
      <c r="F86" s="75"/>
      <c r="G86" s="75"/>
      <c r="H86" s="75"/>
      <c r="I86" s="75"/>
    </row>
    <row r="87" spans="1:9" ht="14.4">
      <c r="A87" s="75" t="s">
        <v>1507</v>
      </c>
      <c r="B87" s="75" t="s">
        <v>1099</v>
      </c>
      <c r="C87" s="75" t="s">
        <v>1508</v>
      </c>
      <c r="D87" s="75">
        <v>3</v>
      </c>
      <c r="E87" s="75"/>
      <c r="F87" s="75"/>
      <c r="G87" s="75"/>
      <c r="H87" s="75"/>
      <c r="I87" s="75"/>
    </row>
    <row r="88" spans="1:9" ht="14.4">
      <c r="A88" s="75" t="s">
        <v>1509</v>
      </c>
      <c r="B88" s="75" t="s">
        <v>1099</v>
      </c>
      <c r="C88" s="75" t="s">
        <v>1510</v>
      </c>
      <c r="D88" s="75">
        <v>4</v>
      </c>
      <c r="E88" s="75"/>
      <c r="F88" s="75"/>
      <c r="G88" s="75"/>
      <c r="H88" s="75"/>
      <c r="I88" s="75"/>
    </row>
    <row r="89" spans="1:9" ht="14.4">
      <c r="A89" s="75" t="s">
        <v>1511</v>
      </c>
      <c r="B89" s="75" t="s">
        <v>1099</v>
      </c>
      <c r="C89" s="75" t="s">
        <v>1433</v>
      </c>
      <c r="D89" s="75">
        <v>4</v>
      </c>
      <c r="E89" s="75"/>
      <c r="F89" s="75"/>
      <c r="G89" s="75"/>
      <c r="H89" s="75"/>
      <c r="I89" s="75"/>
    </row>
    <row r="90" spans="1:9" ht="14.4">
      <c r="A90" s="75" t="s">
        <v>1512</v>
      </c>
      <c r="B90" s="75" t="s">
        <v>1100</v>
      </c>
      <c r="C90" s="75" t="s">
        <v>1502</v>
      </c>
      <c r="D90" s="75">
        <v>0</v>
      </c>
      <c r="E90" s="75"/>
      <c r="F90" s="75"/>
      <c r="G90" s="75"/>
      <c r="H90" s="75"/>
      <c r="I90" s="75"/>
    </row>
    <row r="91" spans="1:9" ht="14.4">
      <c r="A91" s="75" t="s">
        <v>1513</v>
      </c>
      <c r="B91" s="75" t="s">
        <v>1100</v>
      </c>
      <c r="C91" s="75" t="s">
        <v>1514</v>
      </c>
      <c r="D91" s="75">
        <v>1</v>
      </c>
      <c r="E91" s="75"/>
      <c r="F91" s="75"/>
      <c r="G91" s="75"/>
      <c r="H91" s="75"/>
      <c r="I91" s="75"/>
    </row>
    <row r="92" spans="1:9" ht="14.4">
      <c r="A92" s="75" t="s">
        <v>1515</v>
      </c>
      <c r="B92" s="75" t="s">
        <v>1100</v>
      </c>
      <c r="C92" s="75" t="s">
        <v>1516</v>
      </c>
      <c r="D92" s="75">
        <v>2</v>
      </c>
      <c r="E92" s="75"/>
      <c r="F92" s="75"/>
      <c r="G92" s="75"/>
      <c r="H92" s="75"/>
      <c r="I92" s="75"/>
    </row>
    <row r="93" spans="1:9" ht="14.4">
      <c r="A93" s="75" t="s">
        <v>1517</v>
      </c>
      <c r="B93" s="75" t="s">
        <v>1100</v>
      </c>
      <c r="C93" s="75" t="s">
        <v>1518</v>
      </c>
      <c r="D93" s="75">
        <v>3</v>
      </c>
      <c r="E93" s="75"/>
      <c r="F93" s="75"/>
      <c r="G93" s="75"/>
      <c r="H93" s="75"/>
      <c r="I93" s="75"/>
    </row>
    <row r="94" spans="1:9" ht="14.4">
      <c r="A94" s="75" t="s">
        <v>1519</v>
      </c>
      <c r="B94" s="75" t="s">
        <v>1100</v>
      </c>
      <c r="C94" s="75" t="s">
        <v>1520</v>
      </c>
      <c r="D94" s="75">
        <v>4</v>
      </c>
      <c r="E94" s="75"/>
      <c r="F94" s="75"/>
      <c r="G94" s="75"/>
      <c r="H94" s="75"/>
      <c r="I94" s="75"/>
    </row>
    <row r="95" spans="1:9" ht="14.4">
      <c r="A95" s="75" t="s">
        <v>1521</v>
      </c>
      <c r="B95" s="75" t="s">
        <v>1100</v>
      </c>
      <c r="C95" s="75" t="s">
        <v>1433</v>
      </c>
      <c r="D95" s="75">
        <v>4</v>
      </c>
      <c r="E95" s="75"/>
      <c r="F95" s="75"/>
      <c r="G95" s="75"/>
      <c r="H95" s="75"/>
      <c r="I95" s="75"/>
    </row>
    <row r="96" spans="1:9" ht="14.4">
      <c r="A96" s="75" t="s">
        <v>1522</v>
      </c>
      <c r="B96" s="75" t="s">
        <v>1109</v>
      </c>
      <c r="C96" s="75" t="s">
        <v>1502</v>
      </c>
      <c r="D96" s="75">
        <v>0</v>
      </c>
      <c r="E96" s="75"/>
      <c r="F96" s="75"/>
      <c r="G96" s="75"/>
      <c r="H96" s="75"/>
      <c r="I96" s="75"/>
    </row>
    <row r="97" spans="1:9" ht="14.4">
      <c r="A97" s="75" t="s">
        <v>1523</v>
      </c>
      <c r="B97" s="75" t="s">
        <v>1109</v>
      </c>
      <c r="C97" s="75" t="s">
        <v>1514</v>
      </c>
      <c r="D97" s="75">
        <v>1</v>
      </c>
      <c r="E97" s="75"/>
      <c r="F97" s="75"/>
      <c r="G97" s="75"/>
      <c r="H97" s="75"/>
      <c r="I97" s="75"/>
    </row>
    <row r="98" spans="1:9" ht="14.4">
      <c r="A98" s="75" t="s">
        <v>1524</v>
      </c>
      <c r="B98" s="75" t="s">
        <v>1109</v>
      </c>
      <c r="C98" s="75" t="s">
        <v>1525</v>
      </c>
      <c r="D98" s="75">
        <v>2</v>
      </c>
      <c r="E98" s="75"/>
      <c r="F98" s="75"/>
      <c r="G98" s="75"/>
      <c r="H98" s="75"/>
      <c r="I98" s="75"/>
    </row>
    <row r="99" spans="1:9" ht="14.4">
      <c r="A99" s="75" t="s">
        <v>1526</v>
      </c>
      <c r="B99" s="75" t="s">
        <v>1109</v>
      </c>
      <c r="C99" s="75" t="s">
        <v>1527</v>
      </c>
      <c r="D99" s="75">
        <v>3</v>
      </c>
      <c r="E99" s="75"/>
      <c r="F99" s="75"/>
      <c r="G99" s="75"/>
      <c r="H99" s="75"/>
      <c r="I99" s="75"/>
    </row>
    <row r="100" spans="1:9" ht="14.4">
      <c r="A100" s="75" t="s">
        <v>1528</v>
      </c>
      <c r="B100" s="75" t="s">
        <v>1109</v>
      </c>
      <c r="C100" s="75" t="s">
        <v>1529</v>
      </c>
      <c r="D100" s="75">
        <v>4</v>
      </c>
      <c r="E100" s="75"/>
      <c r="F100" s="75"/>
      <c r="G100" s="75"/>
      <c r="H100" s="75"/>
      <c r="I100" s="75"/>
    </row>
    <row r="101" spans="1:9" ht="14.4">
      <c r="A101" s="75" t="s">
        <v>1530</v>
      </c>
      <c r="B101" s="75" t="s">
        <v>1109</v>
      </c>
      <c r="C101" s="75" t="s">
        <v>1433</v>
      </c>
      <c r="D101" s="75">
        <v>4</v>
      </c>
      <c r="E101" s="75"/>
      <c r="F101" s="75"/>
      <c r="G101" s="75"/>
      <c r="H101" s="75"/>
      <c r="I101" s="75"/>
    </row>
    <row r="102" spans="1:9" ht="14.4">
      <c r="A102" s="75" t="s">
        <v>1531</v>
      </c>
      <c r="B102" s="75" t="s">
        <v>1110</v>
      </c>
      <c r="C102" s="75" t="s">
        <v>1532</v>
      </c>
      <c r="D102" s="75">
        <v>0</v>
      </c>
      <c r="E102" s="75"/>
      <c r="F102" s="75"/>
      <c r="G102" s="75"/>
      <c r="H102" s="75"/>
      <c r="I102" s="75"/>
    </row>
    <row r="103" spans="1:9" ht="14.4">
      <c r="A103" s="75" t="s">
        <v>1533</v>
      </c>
      <c r="B103" s="75" t="s">
        <v>1110</v>
      </c>
      <c r="C103" s="75" t="s">
        <v>1447</v>
      </c>
      <c r="D103" s="75">
        <v>1</v>
      </c>
      <c r="E103" s="75"/>
      <c r="F103" s="75"/>
      <c r="G103" s="75"/>
      <c r="H103" s="75"/>
      <c r="I103" s="75"/>
    </row>
    <row r="104" spans="1:9" ht="14.4">
      <c r="A104" s="75" t="s">
        <v>1534</v>
      </c>
      <c r="B104" s="75" t="s">
        <v>1110</v>
      </c>
      <c r="C104" s="75" t="s">
        <v>1449</v>
      </c>
      <c r="D104" s="75">
        <v>2</v>
      </c>
      <c r="E104" s="75"/>
      <c r="F104" s="75"/>
      <c r="G104" s="75"/>
      <c r="H104" s="75"/>
      <c r="I104" s="75"/>
    </row>
    <row r="105" spans="1:9" ht="14.4">
      <c r="A105" s="75" t="s">
        <v>1535</v>
      </c>
      <c r="B105" s="75" t="s">
        <v>1110</v>
      </c>
      <c r="C105" s="75" t="s">
        <v>1536</v>
      </c>
      <c r="D105" s="75">
        <v>3</v>
      </c>
      <c r="E105" s="75"/>
      <c r="F105" s="75"/>
      <c r="G105" s="75"/>
      <c r="H105" s="75"/>
      <c r="I105" s="75"/>
    </row>
    <row r="106" spans="1:9" ht="14.4">
      <c r="A106" s="75" t="s">
        <v>1537</v>
      </c>
      <c r="B106" s="75" t="s">
        <v>1110</v>
      </c>
      <c r="C106" s="75" t="s">
        <v>1538</v>
      </c>
      <c r="D106" s="75">
        <v>4</v>
      </c>
      <c r="E106" s="75"/>
      <c r="F106" s="75"/>
      <c r="G106" s="75"/>
      <c r="H106" s="75"/>
      <c r="I106" s="75"/>
    </row>
    <row r="107" spans="1:9" ht="14.4">
      <c r="A107" s="75" t="s">
        <v>1539</v>
      </c>
      <c r="B107" s="75" t="s">
        <v>1110</v>
      </c>
      <c r="C107" s="75" t="s">
        <v>1433</v>
      </c>
      <c r="D107" s="75">
        <v>4</v>
      </c>
      <c r="E107" s="75"/>
      <c r="F107" s="75"/>
      <c r="G107" s="75"/>
      <c r="H107" s="75"/>
      <c r="I107" s="75"/>
    </row>
    <row r="108" spans="1:9" ht="14.4">
      <c r="A108" s="75" t="s">
        <v>1540</v>
      </c>
      <c r="B108" s="75" t="s">
        <v>1112</v>
      </c>
      <c r="C108" s="75" t="s">
        <v>1532</v>
      </c>
      <c r="D108" s="75">
        <v>0</v>
      </c>
      <c r="E108" s="75"/>
      <c r="F108" s="75"/>
      <c r="G108" s="75"/>
      <c r="H108" s="75"/>
      <c r="I108" s="75"/>
    </row>
    <row r="109" spans="1:9" ht="14.4">
      <c r="A109" s="75" t="s">
        <v>1541</v>
      </c>
      <c r="B109" s="75" t="s">
        <v>1112</v>
      </c>
      <c r="C109" s="75" t="s">
        <v>1447</v>
      </c>
      <c r="D109" s="75">
        <v>1</v>
      </c>
      <c r="E109" s="75"/>
      <c r="F109" s="75"/>
      <c r="G109" s="75"/>
      <c r="H109" s="75"/>
      <c r="I109" s="75"/>
    </row>
    <row r="110" spans="1:9" ht="14.4">
      <c r="A110" s="75" t="s">
        <v>1542</v>
      </c>
      <c r="B110" s="75" t="s">
        <v>1112</v>
      </c>
      <c r="C110" s="75" t="s">
        <v>1543</v>
      </c>
      <c r="D110" s="75">
        <v>2</v>
      </c>
      <c r="E110" s="75"/>
      <c r="F110" s="75"/>
      <c r="G110" s="75"/>
      <c r="H110" s="75"/>
      <c r="I110" s="75"/>
    </row>
    <row r="111" spans="1:9" ht="14.4">
      <c r="A111" s="75" t="s">
        <v>1544</v>
      </c>
      <c r="B111" s="75" t="s">
        <v>1112</v>
      </c>
      <c r="C111" s="75" t="s">
        <v>1545</v>
      </c>
      <c r="D111" s="75">
        <v>3</v>
      </c>
      <c r="E111" s="75"/>
      <c r="F111" s="75"/>
      <c r="G111" s="75"/>
      <c r="H111" s="75"/>
      <c r="I111" s="75"/>
    </row>
    <row r="112" spans="1:9" ht="14.4">
      <c r="A112" s="75" t="s">
        <v>1546</v>
      </c>
      <c r="B112" s="75" t="s">
        <v>1112</v>
      </c>
      <c r="C112" s="75" t="s">
        <v>1547</v>
      </c>
      <c r="D112" s="75">
        <v>4</v>
      </c>
      <c r="E112" s="75"/>
      <c r="F112" s="75"/>
      <c r="G112" s="75"/>
      <c r="H112" s="75"/>
      <c r="I112" s="75"/>
    </row>
    <row r="113" spans="1:9" ht="14.4">
      <c r="A113" s="75" t="s">
        <v>1548</v>
      </c>
      <c r="B113" s="75" t="s">
        <v>1112</v>
      </c>
      <c r="C113" s="75" t="s">
        <v>1433</v>
      </c>
      <c r="D113" s="75">
        <v>4</v>
      </c>
      <c r="E113" s="75"/>
      <c r="F113" s="75"/>
      <c r="G113" s="75"/>
      <c r="H113" s="75"/>
      <c r="I113" s="75"/>
    </row>
    <row r="114" spans="1:9" ht="14.4">
      <c r="A114" s="75" t="s">
        <v>1549</v>
      </c>
      <c r="B114" s="75" t="s">
        <v>1114</v>
      </c>
      <c r="C114" s="75" t="s">
        <v>1532</v>
      </c>
      <c r="D114" s="75">
        <v>0</v>
      </c>
      <c r="E114" s="75"/>
      <c r="F114" s="75"/>
      <c r="G114" s="75"/>
      <c r="H114" s="75"/>
      <c r="I114" s="75"/>
    </row>
    <row r="115" spans="1:9" ht="14.4">
      <c r="A115" s="75" t="s">
        <v>1550</v>
      </c>
      <c r="B115" s="75" t="s">
        <v>1114</v>
      </c>
      <c r="C115" s="75" t="s">
        <v>1551</v>
      </c>
      <c r="D115" s="75">
        <v>1</v>
      </c>
      <c r="E115" s="75"/>
      <c r="F115" s="75"/>
      <c r="G115" s="75"/>
      <c r="H115" s="75"/>
      <c r="I115" s="75"/>
    </row>
    <row r="116" spans="1:9" ht="14.4">
      <c r="A116" s="75" t="s">
        <v>1552</v>
      </c>
      <c r="B116" s="75" t="s">
        <v>1114</v>
      </c>
      <c r="C116" s="75" t="s">
        <v>1553</v>
      </c>
      <c r="D116" s="75">
        <v>2</v>
      </c>
      <c r="E116" s="75"/>
      <c r="F116" s="75"/>
      <c r="G116" s="75"/>
      <c r="H116" s="75"/>
      <c r="I116" s="75"/>
    </row>
    <row r="117" spans="1:9" ht="14.4">
      <c r="A117" s="75" t="s">
        <v>1554</v>
      </c>
      <c r="B117" s="75" t="s">
        <v>1114</v>
      </c>
      <c r="C117" s="75" t="s">
        <v>1493</v>
      </c>
      <c r="D117" s="75">
        <v>3</v>
      </c>
      <c r="E117" s="75"/>
      <c r="F117" s="75"/>
      <c r="G117" s="75"/>
      <c r="H117" s="75"/>
      <c r="I117" s="75"/>
    </row>
    <row r="118" spans="1:9" ht="14.4">
      <c r="A118" s="75" t="s">
        <v>1555</v>
      </c>
      <c r="B118" s="75" t="s">
        <v>1114</v>
      </c>
      <c r="C118" s="75" t="s">
        <v>1556</v>
      </c>
      <c r="D118" s="75">
        <v>4</v>
      </c>
      <c r="E118" s="75"/>
      <c r="F118" s="75"/>
      <c r="G118" s="75"/>
      <c r="H118" s="75"/>
      <c r="I118" s="75"/>
    </row>
    <row r="119" spans="1:9" ht="14.4">
      <c r="A119" s="75" t="s">
        <v>1557</v>
      </c>
      <c r="B119" s="75" t="s">
        <v>1114</v>
      </c>
      <c r="C119" s="75" t="s">
        <v>1433</v>
      </c>
      <c r="D119" s="75">
        <v>4</v>
      </c>
      <c r="E119" s="75"/>
      <c r="F119" s="75"/>
      <c r="G119" s="75"/>
      <c r="H119" s="75"/>
      <c r="I119" s="75"/>
    </row>
    <row r="120" spans="1:9" ht="14.4">
      <c r="A120" s="75" t="s">
        <v>1558</v>
      </c>
      <c r="B120" s="75" t="s">
        <v>1115</v>
      </c>
      <c r="C120" s="75" t="s">
        <v>1532</v>
      </c>
      <c r="D120" s="75">
        <v>0</v>
      </c>
      <c r="E120" s="75"/>
      <c r="F120" s="75"/>
      <c r="G120" s="75"/>
      <c r="H120" s="75"/>
      <c r="I120" s="75"/>
    </row>
    <row r="121" spans="1:9" ht="14.4">
      <c r="A121" s="75" t="s">
        <v>1559</v>
      </c>
      <c r="B121" s="75" t="s">
        <v>1115</v>
      </c>
      <c r="C121" s="75" t="s">
        <v>1447</v>
      </c>
      <c r="D121" s="75">
        <v>1</v>
      </c>
      <c r="E121" s="75"/>
      <c r="F121" s="75"/>
      <c r="G121" s="75"/>
      <c r="H121" s="75"/>
      <c r="I121" s="75"/>
    </row>
    <row r="122" spans="1:9" ht="14.4">
      <c r="A122" s="75" t="s">
        <v>1560</v>
      </c>
      <c r="B122" s="75" t="s">
        <v>1115</v>
      </c>
      <c r="C122" s="75" t="s">
        <v>1543</v>
      </c>
      <c r="D122" s="75">
        <v>2</v>
      </c>
      <c r="E122" s="75"/>
      <c r="F122" s="75"/>
      <c r="G122" s="75"/>
      <c r="H122" s="75"/>
      <c r="I122" s="75"/>
    </row>
    <row r="123" spans="1:9" ht="14.4">
      <c r="A123" s="75" t="s">
        <v>1561</v>
      </c>
      <c r="B123" s="75" t="s">
        <v>1115</v>
      </c>
      <c r="C123" s="75" t="s">
        <v>1545</v>
      </c>
      <c r="D123" s="75">
        <v>3</v>
      </c>
      <c r="E123" s="75"/>
      <c r="F123" s="75"/>
      <c r="G123" s="75"/>
      <c r="H123" s="75"/>
      <c r="I123" s="75"/>
    </row>
    <row r="124" spans="1:9" ht="14.4">
      <c r="A124" s="75" t="s">
        <v>1562</v>
      </c>
      <c r="B124" s="75" t="s">
        <v>1115</v>
      </c>
      <c r="C124" s="75" t="s">
        <v>1547</v>
      </c>
      <c r="D124" s="75">
        <v>4</v>
      </c>
      <c r="E124" s="75"/>
      <c r="F124" s="75"/>
      <c r="G124" s="75"/>
      <c r="H124" s="75"/>
      <c r="I124" s="75"/>
    </row>
    <row r="125" spans="1:9" ht="14.4">
      <c r="A125" s="75" t="s">
        <v>1563</v>
      </c>
      <c r="B125" s="75" t="s">
        <v>1115</v>
      </c>
      <c r="C125" s="75" t="s">
        <v>1433</v>
      </c>
      <c r="D125" s="75">
        <v>4</v>
      </c>
      <c r="E125" s="75"/>
      <c r="F125" s="75"/>
      <c r="G125" s="75"/>
      <c r="H125" s="75"/>
      <c r="I125" s="75"/>
    </row>
    <row r="126" spans="1:9" ht="14.4">
      <c r="A126" s="75" t="s">
        <v>1564</v>
      </c>
      <c r="B126" s="75" t="s">
        <v>1117</v>
      </c>
      <c r="C126" s="75" t="s">
        <v>1565</v>
      </c>
      <c r="D126" s="75">
        <v>0</v>
      </c>
      <c r="E126" s="75"/>
      <c r="F126" s="75"/>
      <c r="G126" s="75"/>
      <c r="H126" s="75"/>
      <c r="I126" s="75"/>
    </row>
    <row r="127" spans="1:9" ht="14.4">
      <c r="A127" s="75" t="s">
        <v>1566</v>
      </c>
      <c r="B127" s="75" t="s">
        <v>1117</v>
      </c>
      <c r="C127" s="75" t="s">
        <v>1567</v>
      </c>
      <c r="D127" s="75">
        <v>1</v>
      </c>
      <c r="E127" s="75"/>
      <c r="F127" s="75"/>
      <c r="G127" s="75"/>
      <c r="H127" s="75"/>
      <c r="I127" s="75"/>
    </row>
    <row r="128" spans="1:9" ht="14.4">
      <c r="A128" s="75" t="s">
        <v>1568</v>
      </c>
      <c r="B128" s="75" t="s">
        <v>1117</v>
      </c>
      <c r="C128" s="75" t="s">
        <v>1516</v>
      </c>
      <c r="D128" s="75">
        <v>2</v>
      </c>
      <c r="E128" s="75"/>
      <c r="F128" s="75"/>
      <c r="G128" s="75"/>
      <c r="H128" s="75"/>
      <c r="I128" s="75"/>
    </row>
    <row r="129" spans="1:9" ht="14.4">
      <c r="A129" s="75" t="s">
        <v>1569</v>
      </c>
      <c r="B129" s="75" t="s">
        <v>1117</v>
      </c>
      <c r="C129" s="75" t="s">
        <v>1514</v>
      </c>
      <c r="D129" s="75">
        <v>3</v>
      </c>
      <c r="E129" s="75"/>
      <c r="F129" s="75"/>
      <c r="G129" s="75"/>
      <c r="H129" s="75"/>
      <c r="I129" s="75"/>
    </row>
    <row r="130" spans="1:9" ht="14.4">
      <c r="A130" s="75" t="s">
        <v>1570</v>
      </c>
      <c r="B130" s="75" t="s">
        <v>1117</v>
      </c>
      <c r="C130" s="75" t="s">
        <v>1502</v>
      </c>
      <c r="D130" s="75">
        <v>4</v>
      </c>
      <c r="E130" s="75"/>
      <c r="F130" s="75"/>
      <c r="G130" s="75"/>
      <c r="H130" s="75"/>
      <c r="I130" s="75"/>
    </row>
    <row r="131" spans="1:9" ht="14.4">
      <c r="A131" s="75" t="s">
        <v>1571</v>
      </c>
      <c r="B131" s="75" t="s">
        <v>1117</v>
      </c>
      <c r="C131" s="75" t="s">
        <v>1433</v>
      </c>
      <c r="D131" s="75">
        <v>4</v>
      </c>
      <c r="E131" s="75"/>
      <c r="F131" s="75"/>
      <c r="G131" s="75"/>
      <c r="H131" s="75"/>
      <c r="I131" s="75"/>
    </row>
    <row r="132" spans="1:9" ht="14.4">
      <c r="A132" s="75" t="s">
        <v>1572</v>
      </c>
      <c r="B132" s="75" t="s">
        <v>1122</v>
      </c>
      <c r="C132" s="75" t="s">
        <v>1565</v>
      </c>
      <c r="D132" s="75">
        <v>0</v>
      </c>
      <c r="E132" s="75"/>
      <c r="F132" s="75"/>
      <c r="G132" s="75"/>
      <c r="H132" s="75"/>
      <c r="I132" s="75"/>
    </row>
    <row r="133" spans="1:9" ht="14.4">
      <c r="A133" s="75" t="s">
        <v>1573</v>
      </c>
      <c r="B133" s="75" t="s">
        <v>1122</v>
      </c>
      <c r="C133" s="75" t="s">
        <v>1567</v>
      </c>
      <c r="D133" s="75">
        <v>1</v>
      </c>
      <c r="E133" s="75"/>
      <c r="F133" s="75"/>
      <c r="G133" s="75"/>
      <c r="H133" s="75"/>
      <c r="I133" s="75"/>
    </row>
    <row r="134" spans="1:9" ht="14.4">
      <c r="A134" s="75" t="s">
        <v>1574</v>
      </c>
      <c r="B134" s="75" t="s">
        <v>1122</v>
      </c>
      <c r="C134" s="75" t="s">
        <v>1516</v>
      </c>
      <c r="D134" s="75">
        <v>2</v>
      </c>
      <c r="E134" s="75"/>
      <c r="F134" s="75"/>
      <c r="G134" s="75"/>
      <c r="H134" s="75"/>
      <c r="I134" s="75"/>
    </row>
    <row r="135" spans="1:9" ht="14.4">
      <c r="A135" s="75" t="s">
        <v>1575</v>
      </c>
      <c r="B135" s="75" t="s">
        <v>1122</v>
      </c>
      <c r="C135" s="75" t="s">
        <v>1514</v>
      </c>
      <c r="D135" s="75">
        <v>3</v>
      </c>
      <c r="E135" s="75"/>
      <c r="F135" s="75"/>
      <c r="G135" s="75"/>
      <c r="H135" s="75"/>
      <c r="I135" s="75"/>
    </row>
    <row r="136" spans="1:9" ht="14.4">
      <c r="A136" s="75" t="s">
        <v>1576</v>
      </c>
      <c r="B136" s="75" t="s">
        <v>1122</v>
      </c>
      <c r="C136" s="75" t="s">
        <v>1502</v>
      </c>
      <c r="D136" s="75">
        <v>4</v>
      </c>
      <c r="E136" s="75"/>
      <c r="F136" s="75"/>
      <c r="G136" s="75"/>
      <c r="H136" s="75"/>
      <c r="I136" s="75"/>
    </row>
    <row r="137" spans="1:9" ht="14.4">
      <c r="A137" s="75" t="s">
        <v>1577</v>
      </c>
      <c r="B137" s="75" t="s">
        <v>1122</v>
      </c>
      <c r="C137" s="75" t="s">
        <v>1433</v>
      </c>
      <c r="D137" s="75">
        <v>4</v>
      </c>
      <c r="E137" s="75"/>
      <c r="F137" s="75"/>
      <c r="G137" s="75"/>
      <c r="H137" s="75"/>
      <c r="I137" s="75"/>
    </row>
    <row r="138" spans="1:9" ht="14.4">
      <c r="A138" s="75" t="s">
        <v>1578</v>
      </c>
      <c r="B138" s="75" t="s">
        <v>1126</v>
      </c>
      <c r="C138" s="75" t="s">
        <v>1579</v>
      </c>
      <c r="D138" s="75">
        <v>0</v>
      </c>
      <c r="E138" s="75"/>
      <c r="F138" s="75"/>
      <c r="G138" s="75"/>
      <c r="H138" s="75"/>
      <c r="I138" s="75"/>
    </row>
    <row r="139" spans="1:9" ht="14.4">
      <c r="A139" s="75" t="s">
        <v>1580</v>
      </c>
      <c r="B139" s="75" t="s">
        <v>1126</v>
      </c>
      <c r="C139" s="75" t="s">
        <v>1581</v>
      </c>
      <c r="D139" s="75">
        <v>1</v>
      </c>
      <c r="E139" s="75"/>
      <c r="F139" s="75"/>
      <c r="G139" s="75"/>
      <c r="H139" s="75"/>
      <c r="I139" s="75"/>
    </row>
    <row r="140" spans="1:9" ht="14.4">
      <c r="A140" s="75" t="s">
        <v>1582</v>
      </c>
      <c r="B140" s="75" t="s">
        <v>1126</v>
      </c>
      <c r="C140" s="75" t="s">
        <v>1583</v>
      </c>
      <c r="D140" s="75">
        <v>2</v>
      </c>
      <c r="E140" s="75"/>
      <c r="F140" s="75"/>
      <c r="G140" s="75"/>
      <c r="H140" s="75"/>
      <c r="I140" s="75"/>
    </row>
    <row r="141" spans="1:9" ht="14.4">
      <c r="A141" s="75" t="s">
        <v>1584</v>
      </c>
      <c r="B141" s="75" t="s">
        <v>1126</v>
      </c>
      <c r="C141" s="75" t="s">
        <v>1585</v>
      </c>
      <c r="D141" s="75">
        <v>3</v>
      </c>
      <c r="E141" s="75"/>
      <c r="F141" s="75"/>
      <c r="G141" s="75"/>
      <c r="H141" s="75"/>
      <c r="I141" s="75"/>
    </row>
    <row r="142" spans="1:9" ht="14.4">
      <c r="A142" s="75" t="s">
        <v>1586</v>
      </c>
      <c r="B142" s="75" t="s">
        <v>1126</v>
      </c>
      <c r="C142" s="75" t="s">
        <v>1587</v>
      </c>
      <c r="D142" s="75">
        <v>4</v>
      </c>
      <c r="E142" s="75"/>
      <c r="F142" s="75"/>
      <c r="G142" s="75"/>
      <c r="H142" s="75"/>
      <c r="I142" s="75"/>
    </row>
    <row r="143" spans="1:9" ht="14.4">
      <c r="A143" s="75" t="s">
        <v>1588</v>
      </c>
      <c r="B143" s="75" t="s">
        <v>1126</v>
      </c>
      <c r="C143" s="75" t="s">
        <v>1433</v>
      </c>
      <c r="D143" s="75">
        <v>4</v>
      </c>
      <c r="E143" s="75"/>
      <c r="F143" s="75"/>
      <c r="G143" s="75"/>
      <c r="H143" s="75"/>
      <c r="I143" s="75"/>
    </row>
    <row r="144" spans="1:9" ht="14.4">
      <c r="A144" s="75" t="s">
        <v>1589</v>
      </c>
      <c r="B144" s="75" t="s">
        <v>1129</v>
      </c>
      <c r="C144" s="75" t="s">
        <v>1532</v>
      </c>
      <c r="D144" s="75">
        <v>0</v>
      </c>
      <c r="E144" s="75"/>
      <c r="F144" s="75"/>
      <c r="G144" s="75"/>
      <c r="H144" s="75"/>
      <c r="I144" s="75"/>
    </row>
    <row r="145" spans="1:9" ht="14.4">
      <c r="A145" s="75" t="s">
        <v>1590</v>
      </c>
      <c r="B145" s="75" t="s">
        <v>1129</v>
      </c>
      <c r="C145" s="75" t="s">
        <v>1447</v>
      </c>
      <c r="D145" s="75">
        <v>1</v>
      </c>
      <c r="E145" s="75"/>
      <c r="F145" s="75"/>
      <c r="G145" s="75"/>
      <c r="H145" s="75"/>
      <c r="I145" s="75"/>
    </row>
    <row r="146" spans="1:9" ht="14.4">
      <c r="A146" s="75" t="s">
        <v>1591</v>
      </c>
      <c r="B146" s="75" t="s">
        <v>1129</v>
      </c>
      <c r="C146" s="75" t="s">
        <v>1449</v>
      </c>
      <c r="D146" s="75">
        <v>2</v>
      </c>
      <c r="E146" s="75"/>
      <c r="F146" s="75"/>
      <c r="G146" s="75"/>
      <c r="H146" s="75"/>
      <c r="I146" s="75"/>
    </row>
    <row r="147" spans="1:9" ht="14.4">
      <c r="A147" s="75" t="s">
        <v>1592</v>
      </c>
      <c r="B147" s="75" t="s">
        <v>1129</v>
      </c>
      <c r="C147" s="75" t="s">
        <v>1536</v>
      </c>
      <c r="D147" s="75">
        <v>3</v>
      </c>
      <c r="E147" s="75"/>
      <c r="F147" s="75"/>
      <c r="G147" s="75"/>
      <c r="H147" s="75"/>
      <c r="I147" s="75"/>
    </row>
    <row r="148" spans="1:9" ht="14.4">
      <c r="A148" s="75" t="s">
        <v>1593</v>
      </c>
      <c r="B148" s="75" t="s">
        <v>1129</v>
      </c>
      <c r="C148" s="75" t="s">
        <v>1594</v>
      </c>
      <c r="D148" s="75">
        <v>4</v>
      </c>
      <c r="E148" s="75"/>
      <c r="F148" s="75"/>
      <c r="G148" s="75"/>
      <c r="H148" s="75"/>
      <c r="I148" s="75"/>
    </row>
    <row r="149" spans="1:9" ht="14.4">
      <c r="A149" s="75" t="s">
        <v>1595</v>
      </c>
      <c r="B149" s="75" t="s">
        <v>1129</v>
      </c>
      <c r="C149" s="75" t="s">
        <v>1433</v>
      </c>
      <c r="D149" s="75">
        <v>4</v>
      </c>
      <c r="E149" s="75"/>
      <c r="F149" s="75"/>
      <c r="G149" s="75"/>
      <c r="H149" s="75"/>
      <c r="I149" s="75"/>
    </row>
    <row r="150" spans="1:9" ht="14.4">
      <c r="A150" s="75" t="s">
        <v>1596</v>
      </c>
      <c r="B150" s="75" t="s">
        <v>1132</v>
      </c>
      <c r="C150" s="75" t="s">
        <v>1428</v>
      </c>
      <c r="D150" s="75">
        <v>0</v>
      </c>
      <c r="E150" s="75"/>
      <c r="F150" s="75"/>
      <c r="G150" s="75"/>
      <c r="H150" s="75"/>
      <c r="I150" s="75"/>
    </row>
    <row r="151" spans="1:9" ht="14.4">
      <c r="A151" s="75" t="s">
        <v>1597</v>
      </c>
      <c r="B151" s="75" t="s">
        <v>1132</v>
      </c>
      <c r="C151" s="75" t="s">
        <v>1429</v>
      </c>
      <c r="D151" s="75">
        <v>1</v>
      </c>
      <c r="E151" s="75"/>
      <c r="F151" s="75"/>
      <c r="G151" s="75"/>
      <c r="H151" s="75"/>
      <c r="I151" s="75"/>
    </row>
    <row r="152" spans="1:9" ht="14.4">
      <c r="A152" s="75" t="s">
        <v>1598</v>
      </c>
      <c r="B152" s="75" t="s">
        <v>1132</v>
      </c>
      <c r="C152" s="75" t="s">
        <v>1430</v>
      </c>
      <c r="D152" s="75">
        <v>2</v>
      </c>
      <c r="E152" s="75"/>
      <c r="F152" s="75"/>
      <c r="G152" s="75"/>
      <c r="H152" s="75"/>
      <c r="I152" s="75"/>
    </row>
    <row r="153" spans="1:9" ht="14.4">
      <c r="A153" s="181" t="s">
        <v>1599</v>
      </c>
      <c r="B153" s="181" t="s">
        <v>1132</v>
      </c>
      <c r="C153" s="181" t="s">
        <v>1431</v>
      </c>
      <c r="D153" s="181">
        <v>3</v>
      </c>
      <c r="E153" s="75"/>
      <c r="F153" s="75"/>
      <c r="G153" s="75"/>
      <c r="H153" s="75"/>
      <c r="I153" s="75"/>
    </row>
    <row r="154" spans="1:9" ht="14.4">
      <c r="A154" s="84" t="s">
        <v>1600</v>
      </c>
      <c r="B154" s="84" t="s">
        <v>1132</v>
      </c>
      <c r="C154" s="84" t="s">
        <v>1432</v>
      </c>
      <c r="D154" s="84">
        <v>4</v>
      </c>
      <c r="E154" s="75"/>
      <c r="F154" s="75"/>
      <c r="G154" s="75"/>
      <c r="H154" s="75"/>
      <c r="I154" s="75"/>
    </row>
    <row r="155" spans="1:9" ht="38.4" customHeight="1">
      <c r="A155" s="75" t="s">
        <v>1601</v>
      </c>
      <c r="B155" s="75" t="s">
        <v>1132</v>
      </c>
      <c r="C155" s="75" t="s">
        <v>1433</v>
      </c>
      <c r="D155" s="75">
        <v>4</v>
      </c>
      <c r="E155" s="75"/>
      <c r="F155" s="75"/>
      <c r="G155" s="75"/>
      <c r="H155" s="75"/>
      <c r="I155" s="75"/>
    </row>
    <row r="156" spans="1:9" ht="38.4" customHeight="1">
      <c r="A156" s="75" t="s">
        <v>1602</v>
      </c>
      <c r="B156" s="75" t="s">
        <v>1135</v>
      </c>
      <c r="C156" s="75" t="s">
        <v>55</v>
      </c>
      <c r="D156" s="75">
        <v>0</v>
      </c>
      <c r="E156" s="75"/>
      <c r="F156" s="75"/>
      <c r="G156" s="75"/>
      <c r="H156" s="75"/>
      <c r="I156" s="75"/>
    </row>
    <row r="157" spans="1:9" ht="38.4" customHeight="1">
      <c r="A157" s="75" t="s">
        <v>1603</v>
      </c>
      <c r="B157" s="75" t="s">
        <v>1135</v>
      </c>
      <c r="C157" s="75" t="s">
        <v>47</v>
      </c>
      <c r="D157" s="75">
        <v>2</v>
      </c>
      <c r="E157" s="75"/>
      <c r="F157" s="75"/>
      <c r="G157" s="75"/>
      <c r="H157" s="75"/>
      <c r="I157" s="75"/>
    </row>
    <row r="158" spans="1:9" ht="38.4" customHeight="1">
      <c r="A158" s="75" t="s">
        <v>1604</v>
      </c>
      <c r="B158" s="75" t="s">
        <v>1135</v>
      </c>
      <c r="C158" s="75" t="s">
        <v>1605</v>
      </c>
      <c r="D158" s="75">
        <v>3</v>
      </c>
      <c r="E158" s="75"/>
      <c r="F158" s="75"/>
      <c r="G158" s="75"/>
      <c r="H158" s="75"/>
      <c r="I158" s="75"/>
    </row>
    <row r="159" spans="1:9" ht="38.4" customHeight="1">
      <c r="A159" s="75" t="s">
        <v>1606</v>
      </c>
      <c r="B159" s="75" t="s">
        <v>1139</v>
      </c>
      <c r="C159" s="75" t="s">
        <v>491</v>
      </c>
      <c r="D159" s="75">
        <v>0</v>
      </c>
      <c r="E159" s="75"/>
      <c r="F159" s="75"/>
      <c r="G159" s="75"/>
      <c r="H159" s="75"/>
      <c r="I159" s="75"/>
    </row>
    <row r="160" spans="1:9" ht="14.4">
      <c r="A160" s="75" t="s">
        <v>1607</v>
      </c>
      <c r="B160" s="75" t="s">
        <v>1139</v>
      </c>
      <c r="C160" s="75" t="s">
        <v>1608</v>
      </c>
      <c r="D160" s="75">
        <v>0</v>
      </c>
      <c r="E160" s="75"/>
      <c r="F160" s="75"/>
      <c r="G160" s="75"/>
      <c r="H160" s="75"/>
      <c r="I160" s="75"/>
    </row>
    <row r="161" spans="1:9" ht="14.4">
      <c r="A161" s="75" t="s">
        <v>1609</v>
      </c>
      <c r="B161" s="75" t="s">
        <v>1139</v>
      </c>
      <c r="C161" s="75" t="s">
        <v>1610</v>
      </c>
      <c r="D161" s="75">
        <v>2</v>
      </c>
      <c r="E161" s="75"/>
      <c r="F161" s="75"/>
      <c r="G161" s="75"/>
      <c r="H161" s="75"/>
      <c r="I161" s="75"/>
    </row>
    <row r="162" spans="1:9" ht="14.4">
      <c r="A162" s="75" t="s">
        <v>1611</v>
      </c>
      <c r="B162" s="75" t="s">
        <v>1139</v>
      </c>
      <c r="C162" s="75" t="s">
        <v>1612</v>
      </c>
      <c r="D162" s="75">
        <v>4</v>
      </c>
      <c r="E162" s="75"/>
      <c r="F162" s="75"/>
      <c r="G162" s="75"/>
      <c r="H162" s="75"/>
      <c r="I162" s="75"/>
    </row>
    <row r="163" spans="1:9" ht="14.4">
      <c r="A163" s="75" t="s">
        <v>1613</v>
      </c>
      <c r="B163" s="75" t="s">
        <v>1139</v>
      </c>
      <c r="C163" s="75" t="s">
        <v>1605</v>
      </c>
      <c r="D163" s="75">
        <v>4</v>
      </c>
      <c r="E163" s="75"/>
      <c r="F163" s="75"/>
      <c r="G163" s="75"/>
      <c r="H163" s="75"/>
      <c r="I163" s="75"/>
    </row>
    <row r="164" spans="1:9" ht="14.4">
      <c r="A164" s="75"/>
      <c r="B164" s="75"/>
      <c r="C164" s="75"/>
      <c r="D164" s="75"/>
      <c r="E164" s="75"/>
      <c r="F164" s="75"/>
      <c r="G164" s="75"/>
      <c r="H164" s="75"/>
      <c r="I164" s="75"/>
    </row>
    <row r="165" spans="1:9" ht="14.4">
      <c r="A165" s="75"/>
      <c r="B165" s="75"/>
      <c r="C165" s="75"/>
      <c r="D165" s="75"/>
      <c r="E165" s="75"/>
      <c r="F165" s="75"/>
      <c r="G165" s="75"/>
      <c r="H165" s="75"/>
      <c r="I165" s="75"/>
    </row>
    <row r="166" spans="1:9" ht="14.4">
      <c r="A166" s="180" t="s">
        <v>1614</v>
      </c>
      <c r="B166" s="180"/>
      <c r="C166" s="180"/>
      <c r="D166" s="180"/>
      <c r="E166" s="180"/>
      <c r="F166" s="180"/>
      <c r="G166" s="180"/>
      <c r="H166" s="180"/>
      <c r="I166" s="180"/>
    </row>
    <row r="167" spans="1:9" ht="14.4">
      <c r="A167" s="90" t="s">
        <v>1615</v>
      </c>
      <c r="B167" s="90" t="s">
        <v>1616</v>
      </c>
      <c r="C167" s="90" t="s">
        <v>1617</v>
      </c>
      <c r="D167" s="90" t="s">
        <v>1618</v>
      </c>
      <c r="E167" s="90"/>
      <c r="F167" s="90"/>
      <c r="G167" s="90"/>
      <c r="H167" s="90"/>
      <c r="I167" s="90"/>
    </row>
    <row r="168" spans="1:9" ht="27.15" customHeight="1">
      <c r="A168" s="75" t="s">
        <v>1619</v>
      </c>
      <c r="B168" s="75" t="s">
        <v>1620</v>
      </c>
      <c r="C168" s="125" t="s">
        <v>1621</v>
      </c>
      <c r="D168" s="75" t="s">
        <v>1622</v>
      </c>
      <c r="E168" s="75"/>
      <c r="F168" s="75"/>
      <c r="G168" s="75"/>
      <c r="H168" s="75"/>
      <c r="I168" s="75"/>
    </row>
    <row r="169" spans="1:9" ht="27.15" customHeight="1">
      <c r="A169" s="75" t="s">
        <v>1619</v>
      </c>
      <c r="B169" s="75" t="s">
        <v>1623</v>
      </c>
      <c r="C169" s="125" t="s">
        <v>1624</v>
      </c>
      <c r="D169" s="75" t="s">
        <v>1625</v>
      </c>
      <c r="E169" s="75"/>
      <c r="F169" s="75"/>
      <c r="G169" s="75"/>
      <c r="H169" s="75"/>
      <c r="I169" s="75"/>
    </row>
    <row r="170" spans="1:9" ht="27.15" customHeight="1">
      <c r="A170" s="75" t="s">
        <v>1619</v>
      </c>
      <c r="B170" s="75" t="s">
        <v>1626</v>
      </c>
      <c r="C170" s="125" t="s">
        <v>1627</v>
      </c>
      <c r="D170" s="75" t="s">
        <v>1628</v>
      </c>
      <c r="E170" s="75"/>
      <c r="F170" s="75"/>
      <c r="G170" s="75"/>
      <c r="H170" s="75"/>
      <c r="I170" s="75"/>
    </row>
    <row r="171" spans="1:9" ht="27.15" customHeight="1">
      <c r="A171" s="75" t="s">
        <v>1629</v>
      </c>
      <c r="B171" s="75" t="s">
        <v>1630</v>
      </c>
      <c r="C171" s="125" t="s">
        <v>1631</v>
      </c>
      <c r="D171" s="75" t="s">
        <v>1632</v>
      </c>
      <c r="E171" s="75"/>
      <c r="F171" s="75"/>
      <c r="G171" s="75"/>
      <c r="H171" s="75"/>
      <c r="I171" s="75"/>
    </row>
    <row r="172" spans="1:9" ht="27.15" customHeight="1">
      <c r="A172" s="75" t="s">
        <v>1629</v>
      </c>
      <c r="B172" s="75" t="s">
        <v>1633</v>
      </c>
      <c r="C172" s="125" t="s">
        <v>1634</v>
      </c>
      <c r="D172" s="75" t="s">
        <v>1635</v>
      </c>
      <c r="E172" s="75"/>
      <c r="F172" s="75"/>
      <c r="G172" s="75"/>
      <c r="H172" s="75"/>
      <c r="I172" s="75"/>
    </row>
    <row r="173" spans="1:9" ht="27.15" customHeight="1">
      <c r="A173" s="75" t="s">
        <v>1629</v>
      </c>
      <c r="B173" s="75" t="s">
        <v>1636</v>
      </c>
      <c r="C173" s="125" t="s">
        <v>1637</v>
      </c>
      <c r="D173" s="75" t="s">
        <v>1638</v>
      </c>
      <c r="E173" s="75"/>
      <c r="F173" s="75"/>
      <c r="G173" s="75"/>
      <c r="H173" s="75"/>
      <c r="I173" s="75"/>
    </row>
    <row r="174" spans="1:9" ht="27.15" customHeight="1">
      <c r="A174" s="75" t="s">
        <v>1639</v>
      </c>
      <c r="B174" s="75" t="s">
        <v>1640</v>
      </c>
      <c r="C174" s="125" t="s">
        <v>1641</v>
      </c>
      <c r="D174" s="75" t="s">
        <v>1642</v>
      </c>
      <c r="E174" s="75"/>
      <c r="F174" s="75"/>
      <c r="G174" s="75"/>
      <c r="H174" s="75"/>
      <c r="I174" s="75"/>
    </row>
    <row r="175" spans="1:9" ht="14.4">
      <c r="A175" s="75"/>
      <c r="B175" s="75"/>
      <c r="C175" s="75"/>
      <c r="D175" s="75"/>
      <c r="E175" s="75"/>
      <c r="F175" s="75"/>
      <c r="G175" s="75"/>
      <c r="H175" s="75"/>
      <c r="I175" s="75"/>
    </row>
    <row r="176" spans="1:9" ht="14.4">
      <c r="A176" s="75"/>
      <c r="B176" s="75"/>
      <c r="C176" s="75"/>
      <c r="D176" s="75"/>
      <c r="E176" s="75"/>
      <c r="F176" s="75"/>
      <c r="G176" s="75"/>
      <c r="H176" s="75"/>
      <c r="I176" s="75"/>
    </row>
    <row r="177" spans="1:9" ht="14.4">
      <c r="A177" s="75"/>
      <c r="B177" s="75"/>
      <c r="C177" s="75"/>
      <c r="D177" s="75"/>
      <c r="E177" s="75"/>
      <c r="F177" s="75"/>
      <c r="G177" s="75"/>
      <c r="H177" s="75"/>
      <c r="I177" s="75"/>
    </row>
    <row r="178" spans="1:9" ht="14.4">
      <c r="A178" s="75"/>
      <c r="B178" s="75"/>
      <c r="C178" s="75"/>
      <c r="D178" s="75"/>
      <c r="E178" s="75"/>
      <c r="F178" s="75"/>
      <c r="G178" s="75"/>
      <c r="H178" s="75"/>
      <c r="I178" s="75"/>
    </row>
    <row r="179" spans="1:9" ht="14.4">
      <c r="A179" s="75"/>
      <c r="B179" s="75"/>
      <c r="C179" s="75"/>
      <c r="D179" s="75"/>
      <c r="E179" s="75"/>
      <c r="F179" s="75"/>
      <c r="G179" s="75"/>
      <c r="H179" s="75"/>
      <c r="I179" s="75"/>
    </row>
    <row r="180" spans="1:9" ht="14.4">
      <c r="A180" s="75"/>
      <c r="B180" s="75"/>
      <c r="C180" s="75"/>
      <c r="D180" s="75"/>
      <c r="E180" s="75"/>
      <c r="F180" s="75"/>
      <c r="G180" s="75"/>
      <c r="H180" s="75"/>
      <c r="I180" s="75"/>
    </row>
    <row r="181" spans="1:9" ht="14.4">
      <c r="A181" s="75"/>
      <c r="B181" s="75"/>
      <c r="C181" s="75"/>
      <c r="D181" s="75"/>
      <c r="E181" s="75"/>
      <c r="F181" s="75"/>
      <c r="G181" s="75"/>
      <c r="H181" s="75"/>
      <c r="I181" s="75"/>
    </row>
    <row r="182" spans="1:9" ht="14.4">
      <c r="A182" s="75"/>
      <c r="B182" s="75"/>
      <c r="C182" s="75"/>
      <c r="D182" s="75"/>
      <c r="E182" s="75"/>
      <c r="F182" s="75"/>
      <c r="G182" s="75"/>
      <c r="H182" s="75"/>
      <c r="I182" s="75"/>
    </row>
    <row r="183" spans="1:9" ht="14.4">
      <c r="A183" s="75"/>
      <c r="B183" s="75"/>
      <c r="C183" s="75"/>
      <c r="D183" s="75"/>
      <c r="E183" s="75"/>
      <c r="F183" s="75"/>
      <c r="G183" s="75"/>
      <c r="H183" s="75"/>
      <c r="I183" s="75"/>
    </row>
    <row r="184" spans="1:9" ht="14.4">
      <c r="A184" s="75"/>
      <c r="B184" s="75"/>
      <c r="C184" s="75"/>
      <c r="D184" s="75"/>
      <c r="E184" s="75"/>
      <c r="F184" s="75"/>
      <c r="G184" s="75"/>
      <c r="H184" s="75"/>
      <c r="I184" s="75"/>
    </row>
    <row r="185" spans="1:9" ht="14.4">
      <c r="A185" s="75"/>
      <c r="B185" s="75"/>
      <c r="C185" s="75"/>
      <c r="D185" s="75"/>
      <c r="E185" s="75"/>
      <c r="F185" s="75"/>
      <c r="G185" s="75"/>
      <c r="H185" s="75"/>
      <c r="I185" s="75"/>
    </row>
    <row r="186" spans="1:9" ht="14.4">
      <c r="A186" s="75"/>
      <c r="B186" s="75"/>
      <c r="C186" s="75"/>
      <c r="D186" s="75"/>
      <c r="E186" s="75"/>
      <c r="F186" s="75"/>
      <c r="G186" s="75"/>
      <c r="H186" s="75"/>
      <c r="I186" s="75"/>
    </row>
    <row r="187" spans="1:9" ht="14.4">
      <c r="A187" s="75"/>
      <c r="B187" s="75"/>
      <c r="C187" s="75"/>
      <c r="D187" s="75"/>
      <c r="E187" s="75"/>
      <c r="F187" s="75"/>
      <c r="G187" s="75"/>
      <c r="H187" s="75"/>
      <c r="I187" s="75"/>
    </row>
    <row r="188" spans="1:9" ht="14.4">
      <c r="A188" s="75"/>
      <c r="B188" s="75"/>
      <c r="C188" s="75"/>
      <c r="D188" s="75"/>
      <c r="E188" s="75"/>
      <c r="F188" s="75"/>
      <c r="G188" s="75"/>
      <c r="H188" s="75"/>
      <c r="I188" s="75"/>
    </row>
    <row r="189" spans="1:9" ht="14.4">
      <c r="A189" s="75"/>
      <c r="B189" s="75"/>
      <c r="C189" s="75"/>
      <c r="D189" s="75"/>
      <c r="E189" s="75"/>
      <c r="F189" s="75"/>
      <c r="G189" s="75"/>
      <c r="H189" s="75"/>
      <c r="I189" s="75"/>
    </row>
    <row r="190" spans="1:9" ht="14.4">
      <c r="A190" s="75"/>
      <c r="B190" s="75"/>
      <c r="C190" s="75"/>
      <c r="D190" s="75"/>
      <c r="E190" s="75"/>
      <c r="F190" s="75"/>
      <c r="G190" s="75"/>
      <c r="H190" s="75"/>
      <c r="I190" s="75"/>
    </row>
    <row r="191" spans="1:9" ht="14.4">
      <c r="A191" s="75"/>
      <c r="B191" s="75"/>
      <c r="C191" s="75"/>
      <c r="D191" s="75"/>
      <c r="E191" s="75"/>
      <c r="F191" s="75"/>
      <c r="G191" s="75"/>
      <c r="H191" s="75"/>
      <c r="I191" s="75"/>
    </row>
    <row r="192" spans="1:9" ht="14.4">
      <c r="A192" s="75"/>
      <c r="B192" s="75"/>
      <c r="C192" s="75"/>
      <c r="D192" s="75"/>
      <c r="E192" s="75"/>
      <c r="F192" s="75"/>
      <c r="G192" s="75"/>
      <c r="H192" s="75"/>
      <c r="I192" s="75"/>
    </row>
    <row r="193" spans="1:9" ht="14.4">
      <c r="A193" s="75"/>
      <c r="B193" s="75"/>
      <c r="C193" s="75"/>
      <c r="D193" s="75"/>
      <c r="E193" s="75"/>
      <c r="F193" s="75"/>
      <c r="G193" s="75"/>
      <c r="H193" s="75"/>
      <c r="I193" s="75"/>
    </row>
    <row r="194" spans="1:9" ht="14.4">
      <c r="A194" s="75"/>
      <c r="B194" s="75"/>
      <c r="C194" s="75"/>
      <c r="D194" s="75"/>
      <c r="E194" s="75"/>
      <c r="F194" s="75"/>
      <c r="G194" s="75"/>
      <c r="H194" s="75"/>
      <c r="I194" s="75"/>
    </row>
    <row r="195" spans="1:9" ht="14.4">
      <c r="A195" s="75"/>
      <c r="B195" s="75"/>
      <c r="C195" s="75"/>
      <c r="D195" s="75"/>
      <c r="E195" s="75"/>
      <c r="F195" s="75"/>
      <c r="G195" s="75"/>
      <c r="H195" s="75"/>
      <c r="I195" s="75"/>
    </row>
    <row r="196" spans="1:9" ht="14.4">
      <c r="A196" s="75"/>
      <c r="B196" s="75"/>
      <c r="C196" s="75"/>
      <c r="D196" s="75"/>
      <c r="E196" s="75"/>
      <c r="F196" s="75"/>
      <c r="G196" s="75"/>
      <c r="H196" s="75"/>
      <c r="I196" s="75"/>
    </row>
    <row r="197" spans="1:9" ht="14.4">
      <c r="A197" s="75"/>
      <c r="B197" s="75"/>
      <c r="C197" s="75"/>
      <c r="D197" s="75"/>
      <c r="E197" s="75"/>
      <c r="F197" s="75"/>
      <c r="G197" s="75"/>
      <c r="H197" s="75"/>
      <c r="I197" s="75"/>
    </row>
    <row r="198" spans="1:9" ht="14.4">
      <c r="A198" s="75"/>
      <c r="B198" s="75"/>
      <c r="C198" s="75"/>
      <c r="D198" s="75"/>
      <c r="E198" s="75"/>
      <c r="F198" s="75"/>
      <c r="G198" s="75"/>
      <c r="H198" s="75"/>
      <c r="I198" s="75"/>
    </row>
    <row r="199" spans="1:9" ht="14.4">
      <c r="A199" s="75"/>
      <c r="B199" s="75"/>
      <c r="C199" s="75"/>
      <c r="D199" s="75"/>
      <c r="E199" s="75"/>
      <c r="F199" s="75"/>
      <c r="G199" s="75"/>
      <c r="H199" s="75"/>
      <c r="I199" s="75"/>
    </row>
    <row r="200" spans="1:9" ht="14.4">
      <c r="A200" s="75"/>
      <c r="B200" s="75"/>
      <c r="C200" s="75"/>
      <c r="D200" s="75"/>
      <c r="E200" s="75"/>
      <c r="F200" s="75"/>
      <c r="G200" s="75"/>
      <c r="H200" s="75"/>
      <c r="I200" s="75"/>
    </row>
    <row r="201" spans="1:9" ht="14.4">
      <c r="A201" s="75"/>
      <c r="B201" s="75"/>
      <c r="C201" s="75"/>
      <c r="D201" s="75"/>
      <c r="E201" s="75"/>
      <c r="F201" s="75"/>
      <c r="G201" s="75"/>
      <c r="H201" s="75"/>
      <c r="I201" s="75"/>
    </row>
    <row r="202" spans="1:9" ht="14.4">
      <c r="A202" s="75"/>
      <c r="B202" s="75"/>
      <c r="C202" s="75"/>
      <c r="D202" s="75"/>
      <c r="E202" s="75"/>
      <c r="F202" s="75"/>
      <c r="G202" s="75"/>
      <c r="H202" s="75"/>
      <c r="I202" s="75"/>
    </row>
    <row r="203" spans="1:9" ht="14.4">
      <c r="A203" s="75"/>
      <c r="B203" s="75"/>
      <c r="C203" s="75"/>
      <c r="D203" s="75"/>
      <c r="E203" s="75"/>
      <c r="F203" s="75"/>
      <c r="G203" s="75"/>
      <c r="H203" s="75"/>
      <c r="I203" s="75"/>
    </row>
    <row r="204" spans="1:9" ht="14.4">
      <c r="A204" s="75"/>
      <c r="B204" s="75"/>
      <c r="C204" s="75"/>
      <c r="D204" s="75"/>
      <c r="E204" s="75"/>
      <c r="F204" s="75"/>
      <c r="G204" s="75"/>
      <c r="H204" s="75"/>
      <c r="I204" s="75"/>
    </row>
    <row r="205" spans="1:9" ht="14.4">
      <c r="A205" s="75"/>
      <c r="B205" s="75"/>
      <c r="C205" s="75"/>
      <c r="D205" s="75"/>
      <c r="E205" s="75"/>
      <c r="F205" s="75"/>
      <c r="G205" s="75"/>
      <c r="H205" s="75"/>
      <c r="I205" s="75"/>
    </row>
    <row r="206" spans="1:9" ht="14.4">
      <c r="A206" s="75"/>
      <c r="B206" s="75"/>
      <c r="C206" s="75"/>
      <c r="D206" s="75"/>
      <c r="E206" s="75"/>
      <c r="F206" s="75"/>
      <c r="G206" s="75"/>
      <c r="H206" s="75"/>
      <c r="I206" s="75"/>
    </row>
    <row r="207" spans="1:9" ht="14.4">
      <c r="A207" s="75"/>
      <c r="B207" s="75"/>
      <c r="C207" s="75"/>
      <c r="D207" s="75"/>
      <c r="E207" s="75"/>
      <c r="F207" s="75"/>
      <c r="G207" s="75"/>
      <c r="H207" s="75"/>
      <c r="I207" s="75"/>
    </row>
    <row r="208" spans="1:9" ht="14.4">
      <c r="A208" s="75"/>
      <c r="B208" s="75"/>
      <c r="C208" s="75"/>
      <c r="D208" s="75"/>
      <c r="E208" s="75"/>
      <c r="F208" s="75"/>
      <c r="G208" s="75"/>
      <c r="H208" s="75"/>
      <c r="I208" s="75"/>
    </row>
    <row r="209" spans="1:9" ht="14.4">
      <c r="A209" s="75"/>
      <c r="B209" s="75"/>
      <c r="C209" s="75"/>
      <c r="D209" s="75"/>
      <c r="E209" s="75"/>
      <c r="F209" s="75"/>
      <c r="G209" s="75"/>
      <c r="H209" s="75"/>
      <c r="I209" s="75"/>
    </row>
    <row r="210" spans="1:9" ht="14.4">
      <c r="A210" s="75"/>
      <c r="B210" s="75"/>
      <c r="C210" s="75"/>
      <c r="D210" s="75"/>
      <c r="E210" s="75"/>
      <c r="F210" s="75"/>
      <c r="G210" s="75"/>
      <c r="H210" s="75"/>
      <c r="I210" s="75"/>
    </row>
    <row r="211" spans="1:9" ht="14.4">
      <c r="A211" s="75"/>
      <c r="B211" s="75"/>
      <c r="C211" s="75"/>
      <c r="D211" s="75"/>
      <c r="E211" s="75"/>
      <c r="F211" s="75"/>
      <c r="G211" s="75"/>
      <c r="H211" s="75"/>
      <c r="I211" s="75"/>
    </row>
    <row r="212" spans="1:9" ht="14.4">
      <c r="A212" s="75"/>
      <c r="B212" s="75"/>
      <c r="C212" s="75"/>
      <c r="D212" s="75"/>
      <c r="E212" s="75"/>
      <c r="F212" s="75"/>
      <c r="G212" s="75"/>
      <c r="H212" s="75"/>
      <c r="I212" s="75"/>
    </row>
    <row r="213" spans="1:9" ht="14.4">
      <c r="A213" s="75"/>
      <c r="B213" s="75"/>
      <c r="C213" s="75"/>
      <c r="D213" s="75"/>
      <c r="E213" s="75"/>
      <c r="F213" s="75"/>
      <c r="G213" s="75"/>
      <c r="H213" s="75"/>
      <c r="I213" s="75"/>
    </row>
    <row r="214" spans="1:9" ht="14.4">
      <c r="A214" s="75"/>
      <c r="B214" s="75"/>
      <c r="C214" s="75"/>
      <c r="D214" s="75"/>
      <c r="E214" s="75"/>
      <c r="F214" s="75"/>
      <c r="G214" s="75"/>
      <c r="H214" s="75"/>
      <c r="I214" s="75"/>
    </row>
    <row r="215" spans="1:9" ht="14.4">
      <c r="A215" s="75"/>
      <c r="B215" s="75"/>
      <c r="C215" s="75"/>
      <c r="D215" s="75"/>
      <c r="E215" s="75"/>
      <c r="F215" s="75"/>
      <c r="G215" s="75"/>
      <c r="H215" s="75"/>
      <c r="I215" s="75"/>
    </row>
    <row r="216" spans="1:9" ht="14.4">
      <c r="A216" s="75"/>
      <c r="B216" s="75"/>
      <c r="C216" s="75"/>
      <c r="D216" s="75"/>
      <c r="E216" s="75"/>
      <c r="F216" s="75"/>
      <c r="G216" s="75"/>
      <c r="H216" s="75"/>
      <c r="I216" s="75"/>
    </row>
    <row r="217" spans="1:9" ht="14.4">
      <c r="A217" s="75"/>
      <c r="B217" s="75"/>
      <c r="C217" s="75"/>
      <c r="D217" s="75"/>
      <c r="E217" s="75"/>
      <c r="F217" s="75"/>
      <c r="G217" s="75"/>
      <c r="H217" s="75"/>
      <c r="I217" s="75"/>
    </row>
    <row r="218" spans="1:9" ht="14.4">
      <c r="A218" s="75"/>
      <c r="B218" s="75"/>
      <c r="C218" s="75"/>
      <c r="D218" s="75"/>
      <c r="E218" s="75"/>
      <c r="F218" s="75"/>
      <c r="G218" s="75"/>
      <c r="H218" s="75"/>
      <c r="I218" s="75"/>
    </row>
    <row r="219" spans="1:9" ht="14.4">
      <c r="A219" s="75"/>
      <c r="B219" s="75"/>
      <c r="C219" s="75"/>
      <c r="D219" s="75"/>
      <c r="E219" s="75"/>
      <c r="F219" s="75"/>
      <c r="G219" s="75"/>
      <c r="H219" s="75"/>
      <c r="I219" s="75"/>
    </row>
    <row r="220" spans="1:9" ht="14.4">
      <c r="A220" s="75"/>
      <c r="B220" s="75"/>
      <c r="C220" s="75"/>
      <c r="D220" s="75"/>
      <c r="E220" s="75"/>
      <c r="F220" s="75"/>
      <c r="G220" s="75"/>
      <c r="H220" s="75"/>
      <c r="I220" s="75"/>
    </row>
    <row r="221" spans="1:9" ht="14.4">
      <c r="A221" s="75"/>
      <c r="B221" s="75"/>
      <c r="C221" s="75"/>
      <c r="D221" s="75"/>
      <c r="E221" s="75"/>
      <c r="F221" s="75"/>
      <c r="G221" s="75"/>
      <c r="H221" s="75"/>
      <c r="I221" s="75"/>
    </row>
    <row r="222" spans="1:9" ht="14.4">
      <c r="A222" s="75"/>
      <c r="B222" s="75"/>
      <c r="C222" s="75"/>
      <c r="D222" s="75"/>
      <c r="E222" s="75"/>
      <c r="F222" s="75"/>
      <c r="G222" s="75"/>
      <c r="H222" s="75"/>
      <c r="I222" s="75"/>
    </row>
    <row r="223" spans="1:9" ht="14.4">
      <c r="A223" s="75"/>
      <c r="B223" s="75"/>
      <c r="C223" s="75"/>
      <c r="D223" s="75"/>
      <c r="E223" s="75"/>
      <c r="F223" s="75"/>
      <c r="G223" s="75"/>
      <c r="H223" s="75"/>
      <c r="I223" s="75"/>
    </row>
    <row r="224" spans="1:9" ht="14.4">
      <c r="A224" s="75"/>
      <c r="B224" s="75"/>
      <c r="C224" s="75"/>
      <c r="D224" s="75"/>
      <c r="E224" s="75"/>
      <c r="F224" s="75"/>
      <c r="G224" s="75"/>
      <c r="H224" s="75"/>
      <c r="I224" s="75"/>
    </row>
    <row r="225" spans="1:9" ht="14.4">
      <c r="A225" s="75"/>
      <c r="B225" s="75"/>
      <c r="C225" s="75"/>
      <c r="D225" s="75"/>
      <c r="E225" s="75"/>
      <c r="F225" s="75"/>
      <c r="G225" s="75"/>
      <c r="H225" s="75"/>
      <c r="I225" s="75"/>
    </row>
    <row r="226" spans="1:9" ht="14.4">
      <c r="A226" s="75"/>
      <c r="B226" s="75"/>
      <c r="C226" s="75"/>
      <c r="D226" s="75"/>
      <c r="E226" s="75"/>
      <c r="F226" s="75"/>
      <c r="G226" s="75"/>
      <c r="H226" s="75"/>
      <c r="I226" s="75"/>
    </row>
    <row r="227" spans="1:9" ht="14.4">
      <c r="A227" s="75"/>
      <c r="B227" s="75"/>
      <c r="C227" s="75"/>
      <c r="D227" s="75"/>
      <c r="E227" s="75"/>
      <c r="F227" s="75"/>
      <c r="G227" s="75"/>
      <c r="H227" s="75"/>
      <c r="I227" s="75"/>
    </row>
    <row r="228" spans="1:9" ht="14.4">
      <c r="A228" s="75"/>
      <c r="B228" s="75"/>
      <c r="C228" s="75"/>
      <c r="D228" s="75"/>
      <c r="E228" s="75"/>
      <c r="F228" s="75"/>
      <c r="G228" s="75"/>
      <c r="H228" s="75"/>
      <c r="I228" s="75"/>
    </row>
    <row r="229" spans="1:9" ht="14.4">
      <c r="A229" s="75"/>
      <c r="B229" s="75"/>
      <c r="C229" s="75"/>
      <c r="D229" s="75"/>
      <c r="E229" s="75"/>
      <c r="F229" s="75"/>
      <c r="G229" s="75"/>
      <c r="H229" s="75"/>
      <c r="I229" s="75"/>
    </row>
    <row r="230" spans="1:9" ht="14.4">
      <c r="A230" s="75"/>
      <c r="B230" s="75"/>
      <c r="C230" s="75"/>
      <c r="D230" s="75"/>
      <c r="E230" s="75"/>
      <c r="F230" s="75"/>
      <c r="G230" s="75"/>
      <c r="H230" s="75"/>
      <c r="I230" s="75"/>
    </row>
    <row r="231" spans="1:9" ht="14.4">
      <c r="A231" s="75"/>
      <c r="B231" s="75"/>
      <c r="C231" s="75"/>
      <c r="D231" s="75"/>
      <c r="E231" s="75"/>
      <c r="F231" s="75"/>
      <c r="G231" s="75"/>
      <c r="H231" s="75"/>
      <c r="I231" s="75"/>
    </row>
    <row r="232" spans="1:9" ht="14.4">
      <c r="A232" s="75"/>
      <c r="B232" s="75"/>
      <c r="C232" s="75"/>
      <c r="D232" s="75"/>
      <c r="E232" s="75"/>
      <c r="F232" s="75"/>
      <c r="G232" s="75"/>
      <c r="H232" s="75"/>
      <c r="I232" s="75"/>
    </row>
    <row r="233" spans="1:9" ht="14.4">
      <c r="A233" s="75"/>
      <c r="B233" s="75"/>
      <c r="C233" s="75"/>
      <c r="D233" s="75"/>
      <c r="E233" s="75"/>
      <c r="F233" s="75"/>
      <c r="G233" s="75"/>
      <c r="H233" s="75"/>
      <c r="I233" s="75"/>
    </row>
    <row r="234" spans="1:9" ht="14.4">
      <c r="A234" s="75"/>
      <c r="B234" s="75"/>
      <c r="C234" s="75"/>
      <c r="D234" s="75"/>
      <c r="E234" s="75"/>
      <c r="F234" s="75"/>
      <c r="G234" s="75"/>
      <c r="H234" s="75"/>
      <c r="I234" s="75"/>
    </row>
    <row r="235" spans="1:9" ht="14.4">
      <c r="A235" s="75"/>
      <c r="B235" s="75"/>
      <c r="C235" s="75"/>
      <c r="D235" s="75"/>
      <c r="E235" s="75"/>
      <c r="F235" s="75"/>
      <c r="G235" s="75"/>
      <c r="H235" s="75"/>
      <c r="I235" s="75"/>
    </row>
    <row r="236" spans="1:9" ht="14.4">
      <c r="A236" s="75"/>
      <c r="B236" s="75"/>
      <c r="C236" s="75"/>
      <c r="D236" s="75"/>
      <c r="E236" s="75"/>
      <c r="F236" s="75"/>
      <c r="G236" s="75"/>
      <c r="H236" s="75"/>
      <c r="I236" s="75"/>
    </row>
    <row r="237" spans="1:9" ht="14.4">
      <c r="A237" s="75"/>
      <c r="B237" s="75"/>
      <c r="C237" s="75"/>
      <c r="D237" s="75"/>
      <c r="E237" s="75"/>
      <c r="F237" s="75"/>
      <c r="G237" s="75"/>
      <c r="H237" s="75"/>
      <c r="I237" s="75"/>
    </row>
    <row r="238" spans="1:9" ht="14.4">
      <c r="A238" s="75"/>
      <c r="B238" s="75"/>
      <c r="C238" s="75"/>
      <c r="D238" s="75"/>
      <c r="E238" s="75"/>
      <c r="F238" s="75"/>
      <c r="G238" s="75"/>
      <c r="H238" s="75"/>
      <c r="I238" s="75"/>
    </row>
    <row r="239" spans="1:9" ht="14.4">
      <c r="A239" s="75"/>
      <c r="B239" s="75"/>
      <c r="C239" s="75"/>
      <c r="D239" s="75"/>
      <c r="E239" s="75"/>
      <c r="F239" s="75"/>
      <c r="G239" s="75"/>
      <c r="H239" s="75"/>
      <c r="I239" s="75"/>
    </row>
    <row r="240" spans="1:9" ht="14.4">
      <c r="A240" s="75"/>
      <c r="B240" s="75"/>
      <c r="C240" s="75"/>
      <c r="D240" s="75"/>
      <c r="E240" s="75"/>
      <c r="F240" s="75"/>
      <c r="G240" s="75"/>
      <c r="H240" s="75"/>
      <c r="I240" s="75"/>
    </row>
    <row r="241" spans="1:9" ht="14.4">
      <c r="A241" s="75"/>
      <c r="B241" s="75"/>
      <c r="C241" s="75"/>
      <c r="D241" s="75"/>
      <c r="E241" s="75"/>
      <c r="F241" s="75"/>
      <c r="G241" s="75"/>
      <c r="H241" s="75"/>
      <c r="I241" s="75"/>
    </row>
    <row r="242" spans="1:9" ht="14.4">
      <c r="A242" s="75"/>
      <c r="B242" s="75"/>
      <c r="C242" s="75"/>
      <c r="D242" s="75"/>
      <c r="E242" s="75"/>
      <c r="F242" s="75"/>
      <c r="G242" s="75"/>
      <c r="H242" s="75"/>
      <c r="I242" s="75"/>
    </row>
    <row r="243" spans="1:9" ht="14.4">
      <c r="A243" s="75"/>
      <c r="B243" s="75"/>
      <c r="C243" s="75"/>
      <c r="D243" s="75"/>
      <c r="E243" s="75"/>
      <c r="F243" s="75"/>
      <c r="G243" s="75"/>
      <c r="H243" s="75"/>
      <c r="I243" s="75"/>
    </row>
    <row r="244" spans="1:9" ht="14.4">
      <c r="A244" s="75"/>
      <c r="B244" s="75"/>
      <c r="C244" s="75"/>
      <c r="D244" s="75"/>
      <c r="E244" s="75"/>
      <c r="F244" s="75"/>
      <c r="G244" s="75"/>
      <c r="H244" s="75"/>
      <c r="I244" s="75"/>
    </row>
    <row r="245" spans="1:9" ht="14.4">
      <c r="A245" s="75"/>
      <c r="B245" s="75"/>
      <c r="C245" s="75"/>
      <c r="D245" s="75"/>
      <c r="E245" s="75"/>
      <c r="F245" s="75"/>
      <c r="G245" s="75"/>
      <c r="H245" s="75"/>
      <c r="I245" s="75"/>
    </row>
    <row r="246" spans="1:9" ht="14.4">
      <c r="A246" s="75"/>
      <c r="B246" s="75"/>
      <c r="C246" s="75"/>
      <c r="D246" s="75"/>
      <c r="E246" s="75"/>
      <c r="F246" s="75"/>
      <c r="G246" s="75"/>
      <c r="H246" s="75"/>
      <c r="I246" s="75"/>
    </row>
    <row r="247" spans="1:9" ht="14.4">
      <c r="A247" s="75"/>
      <c r="B247" s="75"/>
      <c r="C247" s="75"/>
      <c r="D247" s="75"/>
      <c r="E247" s="75"/>
      <c r="F247" s="75"/>
      <c r="G247" s="75"/>
      <c r="H247" s="75"/>
      <c r="I247" s="75"/>
    </row>
    <row r="248" spans="1:9" ht="14.4">
      <c r="A248" s="75"/>
      <c r="B248" s="75"/>
      <c r="C248" s="75"/>
      <c r="D248" s="75"/>
      <c r="E248" s="75"/>
      <c r="F248" s="75"/>
      <c r="G248" s="75"/>
      <c r="H248" s="75"/>
      <c r="I248" s="75"/>
    </row>
    <row r="249" spans="1:9" ht="14.4">
      <c r="A249" s="75"/>
      <c r="B249" s="75"/>
      <c r="C249" s="75"/>
      <c r="D249" s="75"/>
      <c r="E249" s="75"/>
      <c r="F249" s="75"/>
      <c r="G249" s="75"/>
      <c r="H249" s="75"/>
      <c r="I249" s="75"/>
    </row>
    <row r="250" spans="1:9" ht="14.4">
      <c r="A250" s="75"/>
      <c r="B250" s="75"/>
      <c r="C250" s="75"/>
      <c r="D250" s="75"/>
      <c r="E250" s="75"/>
      <c r="F250" s="75"/>
      <c r="G250" s="75"/>
      <c r="H250" s="75"/>
      <c r="I250" s="75"/>
    </row>
    <row r="251" spans="1:9" ht="14.4">
      <c r="A251" s="75"/>
      <c r="B251" s="75"/>
      <c r="C251" s="75"/>
      <c r="D251" s="75"/>
      <c r="E251" s="75"/>
      <c r="F251" s="75"/>
      <c r="G251" s="75"/>
      <c r="H251" s="75"/>
      <c r="I251" s="75"/>
    </row>
    <row r="252" spans="1:9" ht="14.4">
      <c r="A252" s="75"/>
      <c r="B252" s="75"/>
      <c r="C252" s="75"/>
      <c r="D252" s="75"/>
      <c r="E252" s="75"/>
      <c r="F252" s="75"/>
      <c r="G252" s="75"/>
      <c r="H252" s="75"/>
      <c r="I252" s="75"/>
    </row>
    <row r="253" spans="1:9" ht="14.4">
      <c r="A253" s="75"/>
      <c r="B253" s="75"/>
      <c r="C253" s="75"/>
      <c r="D253" s="75"/>
      <c r="E253" s="75"/>
      <c r="F253" s="75"/>
      <c r="G253" s="75"/>
      <c r="H253" s="75"/>
      <c r="I253" s="75"/>
    </row>
    <row r="254" spans="1:9" ht="14.4">
      <c r="A254" s="75"/>
      <c r="B254" s="75"/>
      <c r="C254" s="75"/>
      <c r="D254" s="75"/>
      <c r="E254" s="75"/>
      <c r="F254" s="75"/>
      <c r="G254" s="75"/>
      <c r="H254" s="75"/>
      <c r="I254" s="75"/>
    </row>
    <row r="255" spans="1:9" ht="14.4">
      <c r="A255" s="75"/>
      <c r="B255" s="75"/>
      <c r="C255" s="75"/>
      <c r="D255" s="75"/>
      <c r="E255" s="75"/>
      <c r="F255" s="75"/>
      <c r="G255" s="75"/>
      <c r="H255" s="75"/>
      <c r="I255" s="75"/>
    </row>
    <row r="256" spans="1:9" ht="14.4">
      <c r="A256" s="75"/>
      <c r="B256" s="75"/>
      <c r="C256" s="75"/>
      <c r="D256" s="75"/>
      <c r="E256" s="75"/>
      <c r="F256" s="75"/>
      <c r="G256" s="75"/>
      <c r="H256" s="75"/>
      <c r="I256" s="75"/>
    </row>
    <row r="257" spans="1:9" ht="14.4">
      <c r="A257" s="75"/>
      <c r="B257" s="75"/>
      <c r="C257" s="75"/>
      <c r="D257" s="75"/>
      <c r="E257" s="75"/>
      <c r="F257" s="75"/>
      <c r="G257" s="75"/>
      <c r="H257" s="75"/>
      <c r="I257" s="75"/>
    </row>
    <row r="258" spans="1:9" ht="14.4">
      <c r="A258" s="75"/>
      <c r="B258" s="75"/>
      <c r="C258" s="75"/>
      <c r="D258" s="75"/>
      <c r="E258" s="75"/>
      <c r="F258" s="75"/>
      <c r="G258" s="75"/>
      <c r="H258" s="75"/>
      <c r="I258" s="75"/>
    </row>
    <row r="259" spans="1:9" ht="14.4">
      <c r="A259" s="75"/>
      <c r="B259" s="75"/>
      <c r="C259" s="75"/>
      <c r="D259" s="75"/>
      <c r="E259" s="75"/>
      <c r="F259" s="75"/>
      <c r="G259" s="75"/>
      <c r="H259" s="75"/>
      <c r="I259" s="75"/>
    </row>
    <row r="260" spans="1:9" ht="14.4">
      <c r="A260" s="75"/>
      <c r="B260" s="75"/>
      <c r="C260" s="75"/>
      <c r="D260" s="75"/>
      <c r="E260" s="75"/>
      <c r="F260" s="75"/>
      <c r="G260" s="75"/>
      <c r="H260" s="75"/>
      <c r="I260" s="75"/>
    </row>
  </sheetData>
  <mergeCells count="10">
    <mergeCell ref="A1:H1"/>
    <mergeCell ref="A2:H2"/>
    <mergeCell ref="A10:I10"/>
    <mergeCell ref="A18:I18"/>
    <mergeCell ref="A26:H26"/>
    <mergeCell ref="A153:D153"/>
    <mergeCell ref="A13:I13"/>
    <mergeCell ref="A21:I21"/>
    <mergeCell ref="A29:I29"/>
    <mergeCell ref="A166:I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Dashboard</vt:lpstr>
      <vt:lpstr>ASSESSMENT</vt:lpstr>
      <vt:lpstr>Dimensiones</vt:lpstr>
      <vt:lpstr>Niveles de Madurez</vt:lpstr>
      <vt:lpstr>Plan de Acción</vt:lpstr>
      <vt:lpstr>Catálogos</vt:lpstr>
      <vt:lpstr>Base Normativa</vt:lpstr>
      <vt:lpstr>Guía Aplicación Comercio</vt:lpstr>
      <vt:lpstr>Procesos Comercio</vt:lpstr>
      <vt:lpstr>Perfil Comercio</vt:lpstr>
      <vt:lpstr>Dimensionamiento</vt:lpstr>
      <vt:lpstr>Dimensionamiento Servicios</vt:lpstr>
      <vt:lpstr>Parámetros SMARTCIDI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2026-08-26T19:10:09Z</dcterms:created>
  <dcterms:modified xsi:type="dcterms:W3CDTF">2026-09-08T15:44:49Z</dcterms:modified>
</cp:coreProperties>
</file>