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5ffe807ba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d6fdcb9b64034bb6"/>
    <x:sheet xmlns:r="http://schemas.openxmlformats.org/officeDocument/2006/relationships" name="Ejemplo" sheetId="2" r:id="Rb588b256b40b470c"/>
    <x:sheet xmlns:r="http://schemas.openxmlformats.org/officeDocument/2006/relationships" name="Guia" sheetId="3" r:id="R6c463a5b4fa645bf"/>
    <x:sheet xmlns:r="http://schemas.openxmlformats.org/officeDocument/2006/relationships" name="Parametros" sheetId="4" r:id="R90daa4ddedda40b4"/>
    <x:sheet xmlns:r="http://schemas.openxmlformats.org/officeDocument/2006/relationships" name="Fuentes" sheetId="5" r:id="R1acc4c18396e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b/>
      <x:sz val="14"/>
      <x:name val="Arial"/>
    </x:font>
    <x:font>
      <x:sz val="10"/>
      <x:color rgb="FF59656F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3"/>
      </x:patternFill>
    </x:fill>
    <x:fill>
      <x:patternFill patternType="solid">
        <x:fgColor rgb="FFFFF2CC"/>
      </x:patternFill>
    </x:fill>
    <x:fill>
      <x:patternFill patternType="solid">
        <x:fgColor rgb="FFEDF2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34b60e6714433" /><Relationship Type="http://schemas.openxmlformats.org/officeDocument/2006/relationships/theme" Target="/xl/theme/theme1.xml" Id="R61022e02bd974856" /><Relationship Type="http://schemas.openxmlformats.org/officeDocument/2006/relationships/sharedStrings" Target="/xl/sharedStrings.xml" Id="R3e0c4b4afe4c49ab" /><Relationship Type="http://schemas.openxmlformats.org/officeDocument/2006/relationships/worksheet" Target="/xl/worksheets/sheet1.xml" Id="Rd6fdcb9b64034bb6" /><Relationship Type="http://schemas.openxmlformats.org/officeDocument/2006/relationships/worksheet" Target="/xl/worksheets/sheet2.xml" Id="Rb588b256b40b470c" /><Relationship Type="http://schemas.openxmlformats.org/officeDocument/2006/relationships/worksheet" Target="/xl/worksheets/sheet3.xml" Id="R6c463a5b4fa645bf" /><Relationship Type="http://schemas.openxmlformats.org/officeDocument/2006/relationships/worksheet" Target="/xl/worksheets/sheet4.xml" Id="R90daa4ddedda40b4" /><Relationship Type="http://schemas.openxmlformats.org/officeDocument/2006/relationships/worksheet" Target="/xl/worksheets/sheet5.xml" Id="R1acc4c18396e4f36" /></Relationships>
</file>

<file path=xl/tables/table1.xml><?xml version="1.0" encoding="utf-8"?>
<x:table xmlns:x="http://schemas.openxmlformats.org/spreadsheetml/2006/main" id="1" name="T_Registro" displayName="T_Registro" ref="A5:S105" headerRowCount="1" totalsRowCount="0" totalsRowShown="0">
  <x:autoFilter ref="A5:S105"/>
  <x:tableColumns count="19">
    <x:tableColumn id="1" name="Acción ID"/>
    <x:tableColumn id="2" name="Brecha ID"/>
    <x:tableColumn id="3" name="Tratamiento ID"/>
    <x:tableColumn id="4" name="Requisito ID"/>
    <x:tableColumn id="5" name="Acción concreta"/>
    <x:tableColumn id="6" name="Prioridad"/>
    <x:tableColumn id="7" name="Responsable por rol"/>
    <x:tableColumn id="8" name="Fecha objetivo"/>
    <x:tableColumn id="9" name="Estado declarado"/>
    <x:tableColumn id="10" name="Criterio de aceptación"/>
    <x:tableColumn id="11" name="Documento IDs"/>
    <x:tableColumn id="12" name="Evidencia IDs"/>
    <x:tableColumn id="13" name="Revisor"/>
    <x:tableColumn id="14" name="Resultado verificación"/>
    <x:tableColumn id="15" name="Fecha verificación"/>
    <x:tableColumn id="16" name="Requiere eficacia"/>
    <x:tableColumn id="17" name="Resultado eficacia"/>
    <x:tableColumn id="18" name="Control de cierre"/>
    <x:tableColumn id="19" name="Alerta tempor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Ejemplo" displayName="T_Ejemplo" ref="A5:S6" headerRowCount="1" totalsRowCount="0" totalsRowShown="0">
  <x:autoFilter ref="A5:S6"/>
  <x:tableColumns count="19">
    <x:tableColumn id="1" name="Acción ID"/>
    <x:tableColumn id="2" name="Brecha ID"/>
    <x:tableColumn id="3" name="Tratamiento ID"/>
    <x:tableColumn id="4" name="Requisito ID"/>
    <x:tableColumn id="5" name="Acción concreta"/>
    <x:tableColumn id="6" name="Prioridad"/>
    <x:tableColumn id="7" name="Responsable por rol"/>
    <x:tableColumn id="8" name="Fecha objetivo"/>
    <x:tableColumn id="9" name="Estado declarado"/>
    <x:tableColumn id="10" name="Criterio de aceptación"/>
    <x:tableColumn id="11" name="Documento IDs"/>
    <x:tableColumn id="12" name="Evidencia IDs"/>
    <x:tableColumn id="13" name="Revisor"/>
    <x:tableColumn id="14" name="Resultado verificación"/>
    <x:tableColumn id="15" name="Fecha verificación"/>
    <x:tableColumn id="16" name="Requiere eficacia"/>
    <x:tableColumn id="17" name="Resultado eficacia"/>
    <x:tableColumn id="18" name="Control de cierre"/>
    <x:tableColumn id="19" name="Alerta tempor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uia" displayName="T_Guia" ref="A5:D22" headerRowCount="1" totalsRowCount="0" totalsRowShown="0">
  <x:autoFilter ref="A5:D22"/>
  <x:tableColumns count="4">
    <x:tableColumn id="1" name="Campo o paso"/>
    <x:tableColumn id="2" name="Valor o instrucción"/>
    <x:tableColumn id="3" name="Tipo"/>
    <x:tableColumn id="4" name="Condi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arametros" displayName="T_Parametros" ref="A5:D6" headerRowCount="1" totalsRowCount="0" totalsRowShown="0">
  <x:autoFilter ref="A5:D6"/>
  <x:tableColumns count="4">
    <x:tableColumn id="1" name="Parámetro"/>
    <x:tableColumn id="2" name="Valor"/>
    <x:tableColumn id="3" name="Tipo"/>
    <x:tableColumn id="4" name="Us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Fuentes" displayName="T_Fuentes" ref="A5:H6" headerRowCount="1" totalsRowCount="0" totalsRowShown="0">
  <x:autoFilter ref="A5:H6"/>
  <x:tableColumns count="8">
    <x:tableColumn id="1" name="ID"/>
    <x:tableColumn id="2" name="Instrumento"/>
    <x:tableColumn id="3" name="Naturaleza"/>
    <x:tableColumn id="4" name="Disposición"/>
    <x:tableColumn id="5" name="URL oficial"/>
    <x:tableColumn id="6" name="Estado de verificación"/>
    <x:tableColumn id="7" name="Documentos"/>
    <x:tableColumn id="8" name="Fecha consu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b25d4299ca40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c3f480095944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76e56e0e3b43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61cc95f24b4e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980292a8645464f" /></Relationships>
</file>

<file path=xl/worksheets/sheet1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4" t="str">
        <x:v>PLA-01 Plan de acción y control de cierre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6" customHeight="1">
      <x:c r="A5" s="10" t="str">
        <x:v>Acción ID</x:v>
      </x:c>
      <x:c r="B5" s="10" t="str">
        <x:v>Brecha ID</x:v>
      </x:c>
      <x:c r="C5" s="10" t="str">
        <x:v>Tratamiento ID</x:v>
      </x:c>
      <x:c r="D5" s="10" t="str">
        <x:v>Requisito ID</x:v>
      </x:c>
      <x:c r="E5" s="10" t="str">
        <x:v>Acción concreta</x:v>
      </x:c>
      <x:c r="F5" s="10" t="str">
        <x:v>Prioridad</x:v>
      </x:c>
      <x:c r="G5" s="10" t="str">
        <x:v>Responsable por rol</x:v>
      </x:c>
      <x:c r="H5" s="10" t="str">
        <x:v>Fecha objetivo</x:v>
      </x:c>
      <x:c r="I5" s="10" t="str">
        <x:v>Estado declarado</x:v>
      </x:c>
      <x:c r="J5" s="10" t="str">
        <x:v>Criterio de aceptación</x:v>
      </x:c>
      <x:c r="K5" s="10" t="str">
        <x:v>Documento IDs</x:v>
      </x:c>
      <x:c r="L5" s="10" t="str">
        <x:v>Evidencia IDs</x:v>
      </x:c>
      <x:c r="M5" s="10" t="str">
        <x:v>Revisor</x:v>
      </x:c>
      <x:c r="N5" s="10" t="str">
        <x:v>Resultado verificación</x:v>
      </x:c>
      <x:c r="O5" s="10" t="str">
        <x:v>Fecha verificación</x:v>
      </x:c>
      <x:c r="P5" s="10" t="str">
        <x:v>Requiere eficacia</x:v>
      </x:c>
      <x:c r="Q5" s="10" t="str">
        <x:v>Resultado eficacia</x:v>
      </x:c>
      <x:c r="R5" s="10" t="str">
        <x:v>Control de cierre</x:v>
      </x:c>
      <x:c r="S5" s="10" t="str">
        <x:v>Alerta temporal</x:v>
      </x:c>
    </x:row>
    <x:row r="6" ht="62" customHeight="1">
      <x:c r="A6" s="12"/>
      <x:c r="B6" s="12"/>
      <x:c r="C6" s="12"/>
      <x:c r="D6" s="12"/>
      <x:c r="E6" s="12"/>
      <x:c r="F6" s="12"/>
      <x:c r="G6" s="12"/>
      <x:c r="H6" s="13"/>
      <x:c r="I6" s="12"/>
      <x:c r="J6" s="12"/>
      <x:c r="K6" s="12"/>
      <x:c r="L6" s="12"/>
      <x:c r="M6" s="12"/>
      <x:c r="N6" s="12"/>
      <x:c r="O6" s="13"/>
      <x:c r="P6" s="12"/>
      <x:c r="Q6" s="12"/>
      <x:c r="R6" s="15" t="str">
        <x:f>IF(A6="","",IF(I6&lt;&gt;"Cerrada","Abierta",IF(OR(J6="",L6="",M6="",N6&lt;&gt;"Conforme",O6="",NOT(ISNUMBER(O6)),O6&lt;=0,NOT(ISNUMBER(Parametros!$B$6)),Parametros!$B$6&lt;=0,O6&gt;Parametros!$B$6,AND(P6&lt;&gt;"Sí",P6&lt;&gt;"No"),AND(P6="Sí",Q6&lt;&gt;"Conforme")),"Cierre bloqueado","Cierre verificable")))</x:f>
      </x:c>
      <x:c r="S6" s="15" t="str">
        <x:f>IF(A6="","",IF(R6="Cierre verificable","Verificada",IF(ISBLANK(H6),"Sin fecha objetivo",IF(OR(NOT(ISNUMBER(H6)),H6&lt;=0),"Fecha objetivo inválida",IF(OR(Parametros!$B$6="",NOT(ISNUMBER(Parametros!$B$6)),Parametros!$B$6&lt;=0),"Revisar fecha de corte",IF(H6&lt;Parametros!$B$6,"Vencida","En plazo"))))))</x:f>
      </x:c>
    </x:row>
    <x:row r="7" ht="62" customHeight="1">
      <x:c r="A7" s="12"/>
      <x:c r="B7" s="12"/>
      <x:c r="C7" s="12"/>
      <x:c r="D7" s="12"/>
      <x:c r="E7" s="12"/>
      <x:c r="F7" s="12"/>
      <x:c r="G7" s="12"/>
      <x:c r="H7" s="13"/>
      <x:c r="I7" s="12"/>
      <x:c r="J7" s="12"/>
      <x:c r="K7" s="12"/>
      <x:c r="L7" s="12"/>
      <x:c r="M7" s="12"/>
      <x:c r="N7" s="12"/>
      <x:c r="O7" s="13"/>
      <x:c r="P7" s="12"/>
      <x:c r="Q7" s="12"/>
      <x:c r="R7" s="15" t="str">
        <x:f>IF(A7="","",IF(I7&lt;&gt;"Cerrada","Abierta",IF(OR(J7="",L7="",M7="",N7&lt;&gt;"Conforme",O7="",NOT(ISNUMBER(O7)),O7&lt;=0,NOT(ISNUMBER(Parametros!$B$6)),Parametros!$B$6&lt;=0,O7&gt;Parametros!$B$6,AND(P7&lt;&gt;"Sí",P7&lt;&gt;"No"),AND(P7="Sí",Q7&lt;&gt;"Conforme")),"Cierre bloqueado","Cierre verificable")))</x:f>
      </x:c>
      <x:c r="S7" s="15" t="str">
        <x:f>IF(A7="","",IF(R7="Cierre verificable","Verificada",IF(ISBLANK(H7),"Sin fecha objetivo",IF(OR(NOT(ISNUMBER(H7)),H7&lt;=0),"Fecha objetivo inválida",IF(OR(Parametros!$B$6="",NOT(ISNUMBER(Parametros!$B$6)),Parametros!$B$6&lt;=0),"Revisar fecha de corte",IF(H7&lt;Parametros!$B$6,"Vencida","En plazo"))))))</x:f>
      </x:c>
    </x:row>
    <x:row r="8" ht="62" customHeight="1">
      <x:c r="A8" s="12"/>
      <x:c r="B8" s="12"/>
      <x:c r="C8" s="12"/>
      <x:c r="D8" s="12"/>
      <x:c r="E8" s="12"/>
      <x:c r="F8" s="12"/>
      <x:c r="G8" s="12"/>
      <x:c r="H8" s="13"/>
      <x:c r="I8" s="12"/>
      <x:c r="J8" s="12"/>
      <x:c r="K8" s="12"/>
      <x:c r="L8" s="12"/>
      <x:c r="M8" s="12"/>
      <x:c r="N8" s="12"/>
      <x:c r="O8" s="13"/>
      <x:c r="P8" s="12"/>
      <x:c r="Q8" s="12"/>
      <x:c r="R8" s="15" t="str">
        <x:f>IF(A8="","",IF(I8&lt;&gt;"Cerrada","Abierta",IF(OR(J8="",L8="",M8="",N8&lt;&gt;"Conforme",O8="",NOT(ISNUMBER(O8)),O8&lt;=0,NOT(ISNUMBER(Parametros!$B$6)),Parametros!$B$6&lt;=0,O8&gt;Parametros!$B$6,AND(P8&lt;&gt;"Sí",P8&lt;&gt;"No"),AND(P8="Sí",Q8&lt;&gt;"Conforme")),"Cierre bloqueado","Cierre verificable")))</x:f>
      </x:c>
      <x:c r="S8" s="15" t="str">
        <x:f>IF(A8="","",IF(R8="Cierre verificable","Verificada",IF(ISBLANK(H8),"Sin fecha objetivo",IF(OR(NOT(ISNUMBER(H8)),H8&lt;=0),"Fecha objetivo inválida",IF(OR(Parametros!$B$6="",NOT(ISNUMBER(Parametros!$B$6)),Parametros!$B$6&lt;=0),"Revisar fecha de corte",IF(H8&lt;Parametros!$B$6,"Vencida","En plazo"))))))</x:f>
      </x:c>
    </x:row>
    <x:row r="9" ht="62" customHeight="1">
      <x:c r="A9" s="12"/>
      <x:c r="B9" s="12"/>
      <x:c r="C9" s="12"/>
      <x:c r="D9" s="12"/>
      <x:c r="E9" s="12"/>
      <x:c r="F9" s="12"/>
      <x:c r="G9" s="12"/>
      <x:c r="H9" s="13"/>
      <x:c r="I9" s="12"/>
      <x:c r="J9" s="12"/>
      <x:c r="K9" s="12"/>
      <x:c r="L9" s="12"/>
      <x:c r="M9" s="12"/>
      <x:c r="N9" s="12"/>
      <x:c r="O9" s="13"/>
      <x:c r="P9" s="12"/>
      <x:c r="Q9" s="12"/>
      <x:c r="R9" s="15" t="str">
        <x:f>IF(A9="","",IF(I9&lt;&gt;"Cerrada","Abierta",IF(OR(J9="",L9="",M9="",N9&lt;&gt;"Conforme",O9="",NOT(ISNUMBER(O9)),O9&lt;=0,NOT(ISNUMBER(Parametros!$B$6)),Parametros!$B$6&lt;=0,O9&gt;Parametros!$B$6,AND(P9&lt;&gt;"Sí",P9&lt;&gt;"No"),AND(P9="Sí",Q9&lt;&gt;"Conforme")),"Cierre bloqueado","Cierre verificable")))</x:f>
      </x:c>
      <x:c r="S9" s="15" t="str">
        <x:f>IF(A9="","",IF(R9="Cierre verificable","Verificada",IF(ISBLANK(H9),"Sin fecha objetivo",IF(OR(NOT(ISNUMBER(H9)),H9&lt;=0),"Fecha objetivo inválida",IF(OR(Parametros!$B$6="",NOT(ISNUMBER(Parametros!$B$6)),Parametros!$B$6&lt;=0),"Revisar fecha de corte",IF(H9&lt;Parametros!$B$6,"Vencida","En plazo"))))))</x:f>
      </x:c>
    </x:row>
    <x:row r="10" ht="62" customHeight="1">
      <x:c r="A10" s="12"/>
      <x:c r="B10" s="12"/>
      <x:c r="C10" s="12"/>
      <x:c r="D10" s="12"/>
      <x:c r="E10" s="12"/>
      <x:c r="F10" s="12"/>
      <x:c r="G10" s="12"/>
      <x:c r="H10" s="13"/>
      <x:c r="I10" s="12"/>
      <x:c r="J10" s="12"/>
      <x:c r="K10" s="12"/>
      <x:c r="L10" s="12"/>
      <x:c r="M10" s="12"/>
      <x:c r="N10" s="12"/>
      <x:c r="O10" s="13"/>
      <x:c r="P10" s="12"/>
      <x:c r="Q10" s="12"/>
      <x:c r="R10" s="15" t="str">
        <x:f>IF(A10="","",IF(I10&lt;&gt;"Cerrada","Abierta",IF(OR(J10="",L10="",M10="",N10&lt;&gt;"Conforme",O10="",NOT(ISNUMBER(O10)),O10&lt;=0,NOT(ISNUMBER(Parametros!$B$6)),Parametros!$B$6&lt;=0,O10&gt;Parametros!$B$6,AND(P10&lt;&gt;"Sí",P10&lt;&gt;"No"),AND(P10="Sí",Q10&lt;&gt;"Conforme")),"Cierre bloqueado","Cierre verificable")))</x:f>
      </x:c>
      <x:c r="S10" s="15" t="str">
        <x:f>IF(A10="","",IF(R10="Cierre verificable","Verificada",IF(ISBLANK(H10),"Sin fecha objetivo",IF(OR(NOT(ISNUMBER(H10)),H10&lt;=0),"Fecha objetivo inválida",IF(OR(Parametros!$B$6="",NOT(ISNUMBER(Parametros!$B$6)),Parametros!$B$6&lt;=0),"Revisar fecha de corte",IF(H10&lt;Parametros!$B$6,"Vencida","En plazo"))))))</x:f>
      </x:c>
    </x:row>
    <x:row r="11" ht="62" customHeight="1">
      <x:c r="A11" s="12"/>
      <x:c r="B11" s="12"/>
      <x:c r="C11" s="12"/>
      <x:c r="D11" s="12"/>
      <x:c r="E11" s="12"/>
      <x:c r="F11" s="12"/>
      <x:c r="G11" s="12"/>
      <x:c r="H11" s="13"/>
      <x:c r="I11" s="12"/>
      <x:c r="J11" s="12"/>
      <x:c r="K11" s="12"/>
      <x:c r="L11" s="12"/>
      <x:c r="M11" s="12"/>
      <x:c r="N11" s="12"/>
      <x:c r="O11" s="13"/>
      <x:c r="P11" s="12"/>
      <x:c r="Q11" s="12"/>
      <x:c r="R11" s="15" t="str">
        <x:f>IF(A11="","",IF(I11&lt;&gt;"Cerrada","Abierta",IF(OR(J11="",L11="",M11="",N11&lt;&gt;"Conforme",O11="",NOT(ISNUMBER(O11)),O11&lt;=0,NOT(ISNUMBER(Parametros!$B$6)),Parametros!$B$6&lt;=0,O11&gt;Parametros!$B$6,AND(P11&lt;&gt;"Sí",P11&lt;&gt;"No"),AND(P11="Sí",Q11&lt;&gt;"Conforme")),"Cierre bloqueado","Cierre verificable")))</x:f>
      </x:c>
      <x:c r="S11" s="15" t="str">
        <x:f>IF(A11="","",IF(R11="Cierre verificable","Verificada",IF(ISBLANK(H11),"Sin fecha objetivo",IF(OR(NOT(ISNUMBER(H11)),H11&lt;=0),"Fecha objetivo inválida",IF(OR(Parametros!$B$6="",NOT(ISNUMBER(Parametros!$B$6)),Parametros!$B$6&lt;=0),"Revisar fecha de corte",IF(H11&lt;Parametros!$B$6,"Vencida","En plazo"))))))</x:f>
      </x:c>
    </x:row>
    <x:row r="12" ht="62" customHeight="1">
      <x:c r="A12" s="12"/>
      <x:c r="B12" s="12"/>
      <x:c r="C12" s="12"/>
      <x:c r="D12" s="12"/>
      <x:c r="E12" s="12"/>
      <x:c r="F12" s="12"/>
      <x:c r="G12" s="12"/>
      <x:c r="H12" s="13"/>
      <x:c r="I12" s="12"/>
      <x:c r="J12" s="12"/>
      <x:c r="K12" s="12"/>
      <x:c r="L12" s="12"/>
      <x:c r="M12" s="12"/>
      <x:c r="N12" s="12"/>
      <x:c r="O12" s="13"/>
      <x:c r="P12" s="12"/>
      <x:c r="Q12" s="12"/>
      <x:c r="R12" s="15" t="str">
        <x:f>IF(A12="","",IF(I12&lt;&gt;"Cerrada","Abierta",IF(OR(J12="",L12="",M12="",N12&lt;&gt;"Conforme",O12="",NOT(ISNUMBER(O12)),O12&lt;=0,NOT(ISNUMBER(Parametros!$B$6)),Parametros!$B$6&lt;=0,O12&gt;Parametros!$B$6,AND(P12&lt;&gt;"Sí",P12&lt;&gt;"No"),AND(P12="Sí",Q12&lt;&gt;"Conforme")),"Cierre bloqueado","Cierre verificable")))</x:f>
      </x:c>
      <x:c r="S12" s="15" t="str">
        <x:f>IF(A12="","",IF(R12="Cierre verificable","Verificada",IF(ISBLANK(H12),"Sin fecha objetivo",IF(OR(NOT(ISNUMBER(H12)),H12&lt;=0),"Fecha objetivo inválida",IF(OR(Parametros!$B$6="",NOT(ISNUMBER(Parametros!$B$6)),Parametros!$B$6&lt;=0),"Revisar fecha de corte",IF(H12&lt;Parametros!$B$6,"Vencida","En plazo"))))))</x:f>
      </x:c>
    </x:row>
    <x:row r="13" ht="62" customHeight="1">
      <x:c r="A13" s="12"/>
      <x:c r="B13" s="12"/>
      <x:c r="C13" s="12"/>
      <x:c r="D13" s="12"/>
      <x:c r="E13" s="12"/>
      <x:c r="F13" s="12"/>
      <x:c r="G13" s="12"/>
      <x:c r="H13" s="13"/>
      <x:c r="I13" s="12"/>
      <x:c r="J13" s="12"/>
      <x:c r="K13" s="12"/>
      <x:c r="L13" s="12"/>
      <x:c r="M13" s="12"/>
      <x:c r="N13" s="12"/>
      <x:c r="O13" s="13"/>
      <x:c r="P13" s="12"/>
      <x:c r="Q13" s="12"/>
      <x:c r="R13" s="15" t="str">
        <x:f>IF(A13="","",IF(I13&lt;&gt;"Cerrada","Abierta",IF(OR(J13="",L13="",M13="",N13&lt;&gt;"Conforme",O13="",NOT(ISNUMBER(O13)),O13&lt;=0,NOT(ISNUMBER(Parametros!$B$6)),Parametros!$B$6&lt;=0,O13&gt;Parametros!$B$6,AND(P13&lt;&gt;"Sí",P13&lt;&gt;"No"),AND(P13="Sí",Q13&lt;&gt;"Conforme")),"Cierre bloqueado","Cierre verificable")))</x:f>
      </x:c>
      <x:c r="S13" s="15" t="str">
        <x:f>IF(A13="","",IF(R13="Cierre verificable","Verificada",IF(ISBLANK(H13),"Sin fecha objetivo",IF(OR(NOT(ISNUMBER(H13)),H13&lt;=0),"Fecha objetivo inválida",IF(OR(Parametros!$B$6="",NOT(ISNUMBER(Parametros!$B$6)),Parametros!$B$6&lt;=0),"Revisar fecha de corte",IF(H13&lt;Parametros!$B$6,"Vencida","En plazo"))))))</x:f>
      </x:c>
    </x:row>
    <x:row r="14" ht="62" customHeight="1">
      <x:c r="A14" s="12"/>
      <x:c r="B14" s="12"/>
      <x:c r="C14" s="12"/>
      <x:c r="D14" s="12"/>
      <x:c r="E14" s="12"/>
      <x:c r="F14" s="12"/>
      <x:c r="G14" s="12"/>
      <x:c r="H14" s="13"/>
      <x:c r="I14" s="12"/>
      <x:c r="J14" s="12"/>
      <x:c r="K14" s="12"/>
      <x:c r="L14" s="12"/>
      <x:c r="M14" s="12"/>
      <x:c r="N14" s="12"/>
      <x:c r="O14" s="13"/>
      <x:c r="P14" s="12"/>
      <x:c r="Q14" s="12"/>
      <x:c r="R14" s="15" t="str">
        <x:f>IF(A14="","",IF(I14&lt;&gt;"Cerrada","Abierta",IF(OR(J14="",L14="",M14="",N14&lt;&gt;"Conforme",O14="",NOT(ISNUMBER(O14)),O14&lt;=0,NOT(ISNUMBER(Parametros!$B$6)),Parametros!$B$6&lt;=0,O14&gt;Parametros!$B$6,AND(P14&lt;&gt;"Sí",P14&lt;&gt;"No"),AND(P14="Sí",Q14&lt;&gt;"Conforme")),"Cierre bloqueado","Cierre verificable")))</x:f>
      </x:c>
      <x:c r="S14" s="15" t="str">
        <x:f>IF(A14="","",IF(R14="Cierre verificable","Verificada",IF(ISBLANK(H14),"Sin fecha objetivo",IF(OR(NOT(ISNUMBER(H14)),H14&lt;=0),"Fecha objetivo inválida",IF(OR(Parametros!$B$6="",NOT(ISNUMBER(Parametros!$B$6)),Parametros!$B$6&lt;=0),"Revisar fecha de corte",IF(H14&lt;Parametros!$B$6,"Vencida","En plazo"))))))</x:f>
      </x:c>
    </x:row>
    <x:row r="15" ht="62" customHeight="1">
      <x:c r="A15" s="12"/>
      <x:c r="B15" s="12"/>
      <x:c r="C15" s="12"/>
      <x:c r="D15" s="12"/>
      <x:c r="E15" s="12"/>
      <x:c r="F15" s="12"/>
      <x:c r="G15" s="12"/>
      <x:c r="H15" s="13"/>
      <x:c r="I15" s="12"/>
      <x:c r="J15" s="12"/>
      <x:c r="K15" s="12"/>
      <x:c r="L15" s="12"/>
      <x:c r="M15" s="12"/>
      <x:c r="N15" s="12"/>
      <x:c r="O15" s="13"/>
      <x:c r="P15" s="12"/>
      <x:c r="Q15" s="12"/>
      <x:c r="R15" s="15" t="str">
        <x:f>IF(A15="","",IF(I15&lt;&gt;"Cerrada","Abierta",IF(OR(J15="",L15="",M15="",N15&lt;&gt;"Conforme",O15="",NOT(ISNUMBER(O15)),O15&lt;=0,NOT(ISNUMBER(Parametros!$B$6)),Parametros!$B$6&lt;=0,O15&gt;Parametros!$B$6,AND(P15&lt;&gt;"Sí",P15&lt;&gt;"No"),AND(P15="Sí",Q15&lt;&gt;"Conforme")),"Cierre bloqueado","Cierre verificable")))</x:f>
      </x:c>
      <x:c r="S15" s="15" t="str">
        <x:f>IF(A15="","",IF(R15="Cierre verificable","Verificada",IF(ISBLANK(H15),"Sin fecha objetivo",IF(OR(NOT(ISNUMBER(H15)),H15&lt;=0),"Fecha objetivo inválida",IF(OR(Parametros!$B$6="",NOT(ISNUMBER(Parametros!$B$6)),Parametros!$B$6&lt;=0),"Revisar fecha de corte",IF(H15&lt;Parametros!$B$6,"Vencida","En plazo"))))))</x:f>
      </x:c>
    </x:row>
    <x:row r="16" ht="62" customHeight="1">
      <x:c r="A16" s="12"/>
      <x:c r="B16" s="12"/>
      <x:c r="C16" s="12"/>
      <x:c r="D16" s="12"/>
      <x:c r="E16" s="12"/>
      <x:c r="F16" s="12"/>
      <x:c r="G16" s="12"/>
      <x:c r="H16" s="13"/>
      <x:c r="I16" s="12"/>
      <x:c r="J16" s="12"/>
      <x:c r="K16" s="12"/>
      <x:c r="L16" s="12"/>
      <x:c r="M16" s="12"/>
      <x:c r="N16" s="12"/>
      <x:c r="O16" s="13"/>
      <x:c r="P16" s="12"/>
      <x:c r="Q16" s="12"/>
      <x:c r="R16" s="15" t="str">
        <x:f>IF(A16="","",IF(I16&lt;&gt;"Cerrada","Abierta",IF(OR(J16="",L16="",M16="",N16&lt;&gt;"Conforme",O16="",NOT(ISNUMBER(O16)),O16&lt;=0,NOT(ISNUMBER(Parametros!$B$6)),Parametros!$B$6&lt;=0,O16&gt;Parametros!$B$6,AND(P16&lt;&gt;"Sí",P16&lt;&gt;"No"),AND(P16="Sí",Q16&lt;&gt;"Conforme")),"Cierre bloqueado","Cierre verificable")))</x:f>
      </x:c>
      <x:c r="S16" s="15" t="str">
        <x:f>IF(A16="","",IF(R16="Cierre verificable","Verificada",IF(ISBLANK(H16),"Sin fecha objetivo",IF(OR(NOT(ISNUMBER(H16)),H16&lt;=0),"Fecha objetivo inválida",IF(OR(Parametros!$B$6="",NOT(ISNUMBER(Parametros!$B$6)),Parametros!$B$6&lt;=0),"Revisar fecha de corte",IF(H16&lt;Parametros!$B$6,"Vencida","En plazo"))))))</x:f>
      </x:c>
    </x:row>
    <x:row r="17" ht="62" customHeight="1">
      <x:c r="A17" s="12"/>
      <x:c r="B17" s="12"/>
      <x:c r="C17" s="12"/>
      <x:c r="D17" s="12"/>
      <x:c r="E17" s="12"/>
      <x:c r="F17" s="12"/>
      <x:c r="G17" s="12"/>
      <x:c r="H17" s="13"/>
      <x:c r="I17" s="12"/>
      <x:c r="J17" s="12"/>
      <x:c r="K17" s="12"/>
      <x:c r="L17" s="12"/>
      <x:c r="M17" s="12"/>
      <x:c r="N17" s="12"/>
      <x:c r="O17" s="13"/>
      <x:c r="P17" s="12"/>
      <x:c r="Q17" s="12"/>
      <x:c r="R17" s="15" t="str">
        <x:f>IF(A17="","",IF(I17&lt;&gt;"Cerrada","Abierta",IF(OR(J17="",L17="",M17="",N17&lt;&gt;"Conforme",O17="",NOT(ISNUMBER(O17)),O17&lt;=0,NOT(ISNUMBER(Parametros!$B$6)),Parametros!$B$6&lt;=0,O17&gt;Parametros!$B$6,AND(P17&lt;&gt;"Sí",P17&lt;&gt;"No"),AND(P17="Sí",Q17&lt;&gt;"Conforme")),"Cierre bloqueado","Cierre verificable")))</x:f>
      </x:c>
      <x:c r="S17" s="15" t="str">
        <x:f>IF(A17="","",IF(R17="Cierre verificable","Verificada",IF(ISBLANK(H17),"Sin fecha objetivo",IF(OR(NOT(ISNUMBER(H17)),H17&lt;=0),"Fecha objetivo inválida",IF(OR(Parametros!$B$6="",NOT(ISNUMBER(Parametros!$B$6)),Parametros!$B$6&lt;=0),"Revisar fecha de corte",IF(H17&lt;Parametros!$B$6,"Vencida","En plazo"))))))</x:f>
      </x:c>
    </x:row>
    <x:row r="18" ht="62" customHeight="1">
      <x:c r="A18" s="12"/>
      <x:c r="B18" s="12"/>
      <x:c r="C18" s="12"/>
      <x:c r="D18" s="12"/>
      <x:c r="E18" s="12"/>
      <x:c r="F18" s="12"/>
      <x:c r="G18" s="12"/>
      <x:c r="H18" s="13"/>
      <x:c r="I18" s="12"/>
      <x:c r="J18" s="12"/>
      <x:c r="K18" s="12"/>
      <x:c r="L18" s="12"/>
      <x:c r="M18" s="12"/>
      <x:c r="N18" s="12"/>
      <x:c r="O18" s="13"/>
      <x:c r="P18" s="12"/>
      <x:c r="Q18" s="12"/>
      <x:c r="R18" s="15" t="str">
        <x:f>IF(A18="","",IF(I18&lt;&gt;"Cerrada","Abierta",IF(OR(J18="",L18="",M18="",N18&lt;&gt;"Conforme",O18="",NOT(ISNUMBER(O18)),O18&lt;=0,NOT(ISNUMBER(Parametros!$B$6)),Parametros!$B$6&lt;=0,O18&gt;Parametros!$B$6,AND(P18&lt;&gt;"Sí",P18&lt;&gt;"No"),AND(P18="Sí",Q18&lt;&gt;"Conforme")),"Cierre bloqueado","Cierre verificable")))</x:f>
      </x:c>
      <x:c r="S18" s="15" t="str">
        <x:f>IF(A18="","",IF(R18="Cierre verificable","Verificada",IF(ISBLANK(H18),"Sin fecha objetivo",IF(OR(NOT(ISNUMBER(H18)),H18&lt;=0),"Fecha objetivo inválida",IF(OR(Parametros!$B$6="",NOT(ISNUMBER(Parametros!$B$6)),Parametros!$B$6&lt;=0),"Revisar fecha de corte",IF(H18&lt;Parametros!$B$6,"Vencida","En plazo"))))))</x:f>
      </x:c>
    </x:row>
    <x:row r="19" ht="62" customHeight="1">
      <x:c r="A19" s="12"/>
      <x:c r="B19" s="12"/>
      <x:c r="C19" s="12"/>
      <x:c r="D19" s="12"/>
      <x:c r="E19" s="12"/>
      <x:c r="F19" s="12"/>
      <x:c r="G19" s="12"/>
      <x:c r="H19" s="13"/>
      <x:c r="I19" s="12"/>
      <x:c r="J19" s="12"/>
      <x:c r="K19" s="12"/>
      <x:c r="L19" s="12"/>
      <x:c r="M19" s="12"/>
      <x:c r="N19" s="12"/>
      <x:c r="O19" s="13"/>
      <x:c r="P19" s="12"/>
      <x:c r="Q19" s="12"/>
      <x:c r="R19" s="15" t="str">
        <x:f>IF(A19="","",IF(I19&lt;&gt;"Cerrada","Abierta",IF(OR(J19="",L19="",M19="",N19&lt;&gt;"Conforme",O19="",NOT(ISNUMBER(O19)),O19&lt;=0,NOT(ISNUMBER(Parametros!$B$6)),Parametros!$B$6&lt;=0,O19&gt;Parametros!$B$6,AND(P19&lt;&gt;"Sí",P19&lt;&gt;"No"),AND(P19="Sí",Q19&lt;&gt;"Conforme")),"Cierre bloqueado","Cierre verificable")))</x:f>
      </x:c>
      <x:c r="S19" s="15" t="str">
        <x:f>IF(A19="","",IF(R19="Cierre verificable","Verificada",IF(ISBLANK(H19),"Sin fecha objetivo",IF(OR(NOT(ISNUMBER(H19)),H19&lt;=0),"Fecha objetivo inválida",IF(OR(Parametros!$B$6="",NOT(ISNUMBER(Parametros!$B$6)),Parametros!$B$6&lt;=0),"Revisar fecha de corte",IF(H19&lt;Parametros!$B$6,"Vencida","En plazo"))))))</x:f>
      </x:c>
    </x:row>
    <x:row r="20" ht="62" customHeight="1">
      <x:c r="A20" s="12"/>
      <x:c r="B20" s="12"/>
      <x:c r="C20" s="12"/>
      <x:c r="D20" s="12"/>
      <x:c r="E20" s="12"/>
      <x:c r="F20" s="12"/>
      <x:c r="G20" s="12"/>
      <x:c r="H20" s="13"/>
      <x:c r="I20" s="12"/>
      <x:c r="J20" s="12"/>
      <x:c r="K20" s="12"/>
      <x:c r="L20" s="12"/>
      <x:c r="M20" s="12"/>
      <x:c r="N20" s="12"/>
      <x:c r="O20" s="13"/>
      <x:c r="P20" s="12"/>
      <x:c r="Q20" s="12"/>
      <x:c r="R20" s="15" t="str">
        <x:f>IF(A20="","",IF(I20&lt;&gt;"Cerrada","Abierta",IF(OR(J20="",L20="",M20="",N20&lt;&gt;"Conforme",O20="",NOT(ISNUMBER(O20)),O20&lt;=0,NOT(ISNUMBER(Parametros!$B$6)),Parametros!$B$6&lt;=0,O20&gt;Parametros!$B$6,AND(P20&lt;&gt;"Sí",P20&lt;&gt;"No"),AND(P20="Sí",Q20&lt;&gt;"Conforme")),"Cierre bloqueado","Cierre verificable")))</x:f>
      </x:c>
      <x:c r="S20" s="15" t="str">
        <x:f>IF(A20="","",IF(R20="Cierre verificable","Verificada",IF(ISBLANK(H20),"Sin fecha objetivo",IF(OR(NOT(ISNUMBER(H20)),H20&lt;=0),"Fecha objetivo inválida",IF(OR(Parametros!$B$6="",NOT(ISNUMBER(Parametros!$B$6)),Parametros!$B$6&lt;=0),"Revisar fecha de corte",IF(H20&lt;Parametros!$B$6,"Vencida","En plazo"))))))</x:f>
      </x:c>
    </x:row>
    <x:row r="21" ht="62" customHeight="1">
      <x:c r="A21" s="12"/>
      <x:c r="B21" s="12"/>
      <x:c r="C21" s="12"/>
      <x:c r="D21" s="12"/>
      <x:c r="E21" s="12"/>
      <x:c r="F21" s="12"/>
      <x:c r="G21" s="12"/>
      <x:c r="H21" s="13"/>
      <x:c r="I21" s="12"/>
      <x:c r="J21" s="12"/>
      <x:c r="K21" s="12"/>
      <x:c r="L21" s="12"/>
      <x:c r="M21" s="12"/>
      <x:c r="N21" s="12"/>
      <x:c r="O21" s="13"/>
      <x:c r="P21" s="12"/>
      <x:c r="Q21" s="12"/>
      <x:c r="R21" s="15" t="str">
        <x:f>IF(A21="","",IF(I21&lt;&gt;"Cerrada","Abierta",IF(OR(J21="",L21="",M21="",N21&lt;&gt;"Conforme",O21="",NOT(ISNUMBER(O21)),O21&lt;=0,NOT(ISNUMBER(Parametros!$B$6)),Parametros!$B$6&lt;=0,O21&gt;Parametros!$B$6,AND(P21&lt;&gt;"Sí",P21&lt;&gt;"No"),AND(P21="Sí",Q21&lt;&gt;"Conforme")),"Cierre bloqueado","Cierre verificable")))</x:f>
      </x:c>
      <x:c r="S21" s="15" t="str">
        <x:f>IF(A21="","",IF(R21="Cierre verificable","Verificada",IF(ISBLANK(H21),"Sin fecha objetivo",IF(OR(NOT(ISNUMBER(H21)),H21&lt;=0),"Fecha objetivo inválida",IF(OR(Parametros!$B$6="",NOT(ISNUMBER(Parametros!$B$6)),Parametros!$B$6&lt;=0),"Revisar fecha de corte",IF(H21&lt;Parametros!$B$6,"Vencida","En plazo"))))))</x:f>
      </x:c>
    </x:row>
    <x:row r="22" ht="62" customHeight="1">
      <x:c r="A22" s="12"/>
      <x:c r="B22" s="12"/>
      <x:c r="C22" s="12"/>
      <x:c r="D22" s="12"/>
      <x:c r="E22" s="12"/>
      <x:c r="F22" s="12"/>
      <x:c r="G22" s="12"/>
      <x:c r="H22" s="13"/>
      <x:c r="I22" s="12"/>
      <x:c r="J22" s="12"/>
      <x:c r="K22" s="12"/>
      <x:c r="L22" s="12"/>
      <x:c r="M22" s="12"/>
      <x:c r="N22" s="12"/>
      <x:c r="O22" s="13"/>
      <x:c r="P22" s="12"/>
      <x:c r="Q22" s="12"/>
      <x:c r="R22" s="15" t="str">
        <x:f>IF(A22="","",IF(I22&lt;&gt;"Cerrada","Abierta",IF(OR(J22="",L22="",M22="",N22&lt;&gt;"Conforme",O22="",NOT(ISNUMBER(O22)),O22&lt;=0,NOT(ISNUMBER(Parametros!$B$6)),Parametros!$B$6&lt;=0,O22&gt;Parametros!$B$6,AND(P22&lt;&gt;"Sí",P22&lt;&gt;"No"),AND(P22="Sí",Q22&lt;&gt;"Conforme")),"Cierre bloqueado","Cierre verificable")))</x:f>
      </x:c>
      <x:c r="S22" s="15" t="str">
        <x:f>IF(A22="","",IF(R22="Cierre verificable","Verificada",IF(ISBLANK(H22),"Sin fecha objetivo",IF(OR(NOT(ISNUMBER(H22)),H22&lt;=0),"Fecha objetivo inválida",IF(OR(Parametros!$B$6="",NOT(ISNUMBER(Parametros!$B$6)),Parametros!$B$6&lt;=0),"Revisar fecha de corte",IF(H22&lt;Parametros!$B$6,"Vencida","En plazo"))))))</x:f>
      </x:c>
    </x:row>
    <x:row r="23" ht="62" customHeight="1">
      <x:c r="A23" s="12"/>
      <x:c r="B23" s="12"/>
      <x:c r="C23" s="12"/>
      <x:c r="D23" s="12"/>
      <x:c r="E23" s="12"/>
      <x:c r="F23" s="12"/>
      <x:c r="G23" s="12"/>
      <x:c r="H23" s="13"/>
      <x:c r="I23" s="12"/>
      <x:c r="J23" s="12"/>
      <x:c r="K23" s="12"/>
      <x:c r="L23" s="12"/>
      <x:c r="M23" s="12"/>
      <x:c r="N23" s="12"/>
      <x:c r="O23" s="13"/>
      <x:c r="P23" s="12"/>
      <x:c r="Q23" s="12"/>
      <x:c r="R23" s="15" t="str">
        <x:f>IF(A23="","",IF(I23&lt;&gt;"Cerrada","Abierta",IF(OR(J23="",L23="",M23="",N23&lt;&gt;"Conforme",O23="",NOT(ISNUMBER(O23)),O23&lt;=0,NOT(ISNUMBER(Parametros!$B$6)),Parametros!$B$6&lt;=0,O23&gt;Parametros!$B$6,AND(P23&lt;&gt;"Sí",P23&lt;&gt;"No"),AND(P23="Sí",Q23&lt;&gt;"Conforme")),"Cierre bloqueado","Cierre verificable")))</x:f>
      </x:c>
      <x:c r="S23" s="15" t="str">
        <x:f>IF(A23="","",IF(R23="Cierre verificable","Verificada",IF(ISBLANK(H23),"Sin fecha objetivo",IF(OR(NOT(ISNUMBER(H23)),H23&lt;=0),"Fecha objetivo inválida",IF(OR(Parametros!$B$6="",NOT(ISNUMBER(Parametros!$B$6)),Parametros!$B$6&lt;=0),"Revisar fecha de corte",IF(H23&lt;Parametros!$B$6,"Vencida","En plazo"))))))</x:f>
      </x:c>
    </x:row>
    <x:row r="24" ht="62" customHeight="1">
      <x:c r="A24" s="12"/>
      <x:c r="B24" s="12"/>
      <x:c r="C24" s="12"/>
      <x:c r="D24" s="12"/>
      <x:c r="E24" s="12"/>
      <x:c r="F24" s="12"/>
      <x:c r="G24" s="12"/>
      <x:c r="H24" s="13"/>
      <x:c r="I24" s="12"/>
      <x:c r="J24" s="12"/>
      <x:c r="K24" s="12"/>
      <x:c r="L24" s="12"/>
      <x:c r="M24" s="12"/>
      <x:c r="N24" s="12"/>
      <x:c r="O24" s="13"/>
      <x:c r="P24" s="12"/>
      <x:c r="Q24" s="12"/>
      <x:c r="R24" s="15" t="str">
        <x:f>IF(A24="","",IF(I24&lt;&gt;"Cerrada","Abierta",IF(OR(J24="",L24="",M24="",N24&lt;&gt;"Conforme",O24="",NOT(ISNUMBER(O24)),O24&lt;=0,NOT(ISNUMBER(Parametros!$B$6)),Parametros!$B$6&lt;=0,O24&gt;Parametros!$B$6,AND(P24&lt;&gt;"Sí",P24&lt;&gt;"No"),AND(P24="Sí",Q24&lt;&gt;"Conforme")),"Cierre bloqueado","Cierre verificable")))</x:f>
      </x:c>
      <x:c r="S24" s="15" t="str">
        <x:f>IF(A24="","",IF(R24="Cierre verificable","Verificada",IF(ISBLANK(H24),"Sin fecha objetivo",IF(OR(NOT(ISNUMBER(H24)),H24&lt;=0),"Fecha objetivo inválida",IF(OR(Parametros!$B$6="",NOT(ISNUMBER(Parametros!$B$6)),Parametros!$B$6&lt;=0),"Revisar fecha de corte",IF(H24&lt;Parametros!$B$6,"Vencida","En plazo"))))))</x:f>
      </x:c>
    </x:row>
    <x:row r="25" ht="62" customHeight="1">
      <x:c r="A25" s="12"/>
      <x:c r="B25" s="12"/>
      <x:c r="C25" s="12"/>
      <x:c r="D25" s="12"/>
      <x:c r="E25" s="12"/>
      <x:c r="F25" s="12"/>
      <x:c r="G25" s="12"/>
      <x:c r="H25" s="13"/>
      <x:c r="I25" s="12"/>
      <x:c r="J25" s="12"/>
      <x:c r="K25" s="12"/>
      <x:c r="L25" s="12"/>
      <x:c r="M25" s="12"/>
      <x:c r="N25" s="12"/>
      <x:c r="O25" s="13"/>
      <x:c r="P25" s="12"/>
      <x:c r="Q25" s="12"/>
      <x:c r="R25" s="15" t="str">
        <x:f>IF(A25="","",IF(I25&lt;&gt;"Cerrada","Abierta",IF(OR(J25="",L25="",M25="",N25&lt;&gt;"Conforme",O25="",NOT(ISNUMBER(O25)),O25&lt;=0,NOT(ISNUMBER(Parametros!$B$6)),Parametros!$B$6&lt;=0,O25&gt;Parametros!$B$6,AND(P25&lt;&gt;"Sí",P25&lt;&gt;"No"),AND(P25="Sí",Q25&lt;&gt;"Conforme")),"Cierre bloqueado","Cierre verificable")))</x:f>
      </x:c>
      <x:c r="S25" s="15" t="str">
        <x:f>IF(A25="","",IF(R25="Cierre verificable","Verificada",IF(ISBLANK(H25),"Sin fecha objetivo",IF(OR(NOT(ISNUMBER(H25)),H25&lt;=0),"Fecha objetivo inválida",IF(OR(Parametros!$B$6="",NOT(ISNUMBER(Parametros!$B$6)),Parametros!$B$6&lt;=0),"Revisar fecha de corte",IF(H25&lt;Parametros!$B$6,"Vencida","En plazo"))))))</x:f>
      </x:c>
    </x:row>
    <x:row r="26" ht="62" customHeight="1">
      <x:c r="A26" s="12"/>
      <x:c r="B26" s="12"/>
      <x:c r="C26" s="12"/>
      <x:c r="D26" s="12"/>
      <x:c r="E26" s="12"/>
      <x:c r="F26" s="12"/>
      <x:c r="G26" s="12"/>
      <x:c r="H26" s="13"/>
      <x:c r="I26" s="12"/>
      <x:c r="J26" s="12"/>
      <x:c r="K26" s="12"/>
      <x:c r="L26" s="12"/>
      <x:c r="M26" s="12"/>
      <x:c r="N26" s="12"/>
      <x:c r="O26" s="13"/>
      <x:c r="P26" s="12"/>
      <x:c r="Q26" s="12"/>
      <x:c r="R26" s="15" t="str">
        <x:f>IF(A26="","",IF(I26&lt;&gt;"Cerrada","Abierta",IF(OR(J26="",L26="",M26="",N26&lt;&gt;"Conforme",O26="",NOT(ISNUMBER(O26)),O26&lt;=0,NOT(ISNUMBER(Parametros!$B$6)),Parametros!$B$6&lt;=0,O26&gt;Parametros!$B$6,AND(P26&lt;&gt;"Sí",P26&lt;&gt;"No"),AND(P26="Sí",Q26&lt;&gt;"Conforme")),"Cierre bloqueado","Cierre verificable")))</x:f>
      </x:c>
      <x:c r="S26" s="15" t="str">
        <x:f>IF(A26="","",IF(R26="Cierre verificable","Verificada",IF(ISBLANK(H26),"Sin fecha objetivo",IF(OR(NOT(ISNUMBER(H26)),H26&lt;=0),"Fecha objetivo inválida",IF(OR(Parametros!$B$6="",NOT(ISNUMBER(Parametros!$B$6)),Parametros!$B$6&lt;=0),"Revisar fecha de corte",IF(H26&lt;Parametros!$B$6,"Vencida","En plazo"))))))</x:f>
      </x:c>
    </x:row>
    <x:row r="27" ht="62" customHeight="1">
      <x:c r="A27" s="12"/>
      <x:c r="B27" s="12"/>
      <x:c r="C27" s="12"/>
      <x:c r="D27" s="12"/>
      <x:c r="E27" s="12"/>
      <x:c r="F27" s="12"/>
      <x:c r="G27" s="12"/>
      <x:c r="H27" s="13"/>
      <x:c r="I27" s="12"/>
      <x:c r="J27" s="12"/>
      <x:c r="K27" s="12"/>
      <x:c r="L27" s="12"/>
      <x:c r="M27" s="12"/>
      <x:c r="N27" s="12"/>
      <x:c r="O27" s="13"/>
      <x:c r="P27" s="12"/>
      <x:c r="Q27" s="12"/>
      <x:c r="R27" s="15" t="str">
        <x:f>IF(A27="","",IF(I27&lt;&gt;"Cerrada","Abierta",IF(OR(J27="",L27="",M27="",N27&lt;&gt;"Conforme",O27="",NOT(ISNUMBER(O27)),O27&lt;=0,NOT(ISNUMBER(Parametros!$B$6)),Parametros!$B$6&lt;=0,O27&gt;Parametros!$B$6,AND(P27&lt;&gt;"Sí",P27&lt;&gt;"No"),AND(P27="Sí",Q27&lt;&gt;"Conforme")),"Cierre bloqueado","Cierre verificable")))</x:f>
      </x:c>
      <x:c r="S27" s="15" t="str">
        <x:f>IF(A27="","",IF(R27="Cierre verificable","Verificada",IF(ISBLANK(H27),"Sin fecha objetivo",IF(OR(NOT(ISNUMBER(H27)),H27&lt;=0),"Fecha objetivo inválida",IF(OR(Parametros!$B$6="",NOT(ISNUMBER(Parametros!$B$6)),Parametros!$B$6&lt;=0),"Revisar fecha de corte",IF(H27&lt;Parametros!$B$6,"Vencida","En plazo"))))))</x:f>
      </x:c>
    </x:row>
    <x:row r="28" ht="62" customHeight="1">
      <x:c r="A28" s="12"/>
      <x:c r="B28" s="12"/>
      <x:c r="C28" s="12"/>
      <x:c r="D28" s="12"/>
      <x:c r="E28" s="12"/>
      <x:c r="F28" s="12"/>
      <x:c r="G28" s="12"/>
      <x:c r="H28" s="13"/>
      <x:c r="I28" s="12"/>
      <x:c r="J28" s="12"/>
      <x:c r="K28" s="12"/>
      <x:c r="L28" s="12"/>
      <x:c r="M28" s="12"/>
      <x:c r="N28" s="12"/>
      <x:c r="O28" s="13"/>
      <x:c r="P28" s="12"/>
      <x:c r="Q28" s="12"/>
      <x:c r="R28" s="15" t="str">
        <x:f>IF(A28="","",IF(I28&lt;&gt;"Cerrada","Abierta",IF(OR(J28="",L28="",M28="",N28&lt;&gt;"Conforme",O28="",NOT(ISNUMBER(O28)),O28&lt;=0,NOT(ISNUMBER(Parametros!$B$6)),Parametros!$B$6&lt;=0,O28&gt;Parametros!$B$6,AND(P28&lt;&gt;"Sí",P28&lt;&gt;"No"),AND(P28="Sí",Q28&lt;&gt;"Conforme")),"Cierre bloqueado","Cierre verificable")))</x:f>
      </x:c>
      <x:c r="S28" s="15" t="str">
        <x:f>IF(A28="","",IF(R28="Cierre verificable","Verificada",IF(ISBLANK(H28),"Sin fecha objetivo",IF(OR(NOT(ISNUMBER(H28)),H28&lt;=0),"Fecha objetivo inválida",IF(OR(Parametros!$B$6="",NOT(ISNUMBER(Parametros!$B$6)),Parametros!$B$6&lt;=0),"Revisar fecha de corte",IF(H28&lt;Parametros!$B$6,"Vencida","En plazo"))))))</x:f>
      </x:c>
    </x:row>
    <x:row r="29" ht="62" customHeight="1">
      <x:c r="A29" s="12"/>
      <x:c r="B29" s="12"/>
      <x:c r="C29" s="12"/>
      <x:c r="D29" s="12"/>
      <x:c r="E29" s="12"/>
      <x:c r="F29" s="12"/>
      <x:c r="G29" s="12"/>
      <x:c r="H29" s="13"/>
      <x:c r="I29" s="12"/>
      <x:c r="J29" s="12"/>
      <x:c r="K29" s="12"/>
      <x:c r="L29" s="12"/>
      <x:c r="M29" s="12"/>
      <x:c r="N29" s="12"/>
      <x:c r="O29" s="13"/>
      <x:c r="P29" s="12"/>
      <x:c r="Q29" s="12"/>
      <x:c r="R29" s="15" t="str">
        <x:f>IF(A29="","",IF(I29&lt;&gt;"Cerrada","Abierta",IF(OR(J29="",L29="",M29="",N29&lt;&gt;"Conforme",O29="",NOT(ISNUMBER(O29)),O29&lt;=0,NOT(ISNUMBER(Parametros!$B$6)),Parametros!$B$6&lt;=0,O29&gt;Parametros!$B$6,AND(P29&lt;&gt;"Sí",P29&lt;&gt;"No"),AND(P29="Sí",Q29&lt;&gt;"Conforme")),"Cierre bloqueado","Cierre verificable")))</x:f>
      </x:c>
      <x:c r="S29" s="15" t="str">
        <x:f>IF(A29="","",IF(R29="Cierre verificable","Verificada",IF(ISBLANK(H29),"Sin fecha objetivo",IF(OR(NOT(ISNUMBER(H29)),H29&lt;=0),"Fecha objetivo inválida",IF(OR(Parametros!$B$6="",NOT(ISNUMBER(Parametros!$B$6)),Parametros!$B$6&lt;=0),"Revisar fecha de corte",IF(H29&lt;Parametros!$B$6,"Vencida","En plazo"))))))</x:f>
      </x:c>
    </x:row>
    <x:row r="30" ht="62" customHeight="1">
      <x:c r="A30" s="12"/>
      <x:c r="B30" s="12"/>
      <x:c r="C30" s="12"/>
      <x:c r="D30" s="12"/>
      <x:c r="E30" s="12"/>
      <x:c r="F30" s="12"/>
      <x:c r="G30" s="12"/>
      <x:c r="H30" s="13"/>
      <x:c r="I30" s="12"/>
      <x:c r="J30" s="12"/>
      <x:c r="K30" s="12"/>
      <x:c r="L30" s="12"/>
      <x:c r="M30" s="12"/>
      <x:c r="N30" s="12"/>
      <x:c r="O30" s="13"/>
      <x:c r="P30" s="12"/>
      <x:c r="Q30" s="12"/>
      <x:c r="R30" s="15" t="str">
        <x:f>IF(A30="","",IF(I30&lt;&gt;"Cerrada","Abierta",IF(OR(J30="",L30="",M30="",N30&lt;&gt;"Conforme",O30="",NOT(ISNUMBER(O30)),O30&lt;=0,NOT(ISNUMBER(Parametros!$B$6)),Parametros!$B$6&lt;=0,O30&gt;Parametros!$B$6,AND(P30&lt;&gt;"Sí",P30&lt;&gt;"No"),AND(P30="Sí",Q30&lt;&gt;"Conforme")),"Cierre bloqueado","Cierre verificable")))</x:f>
      </x:c>
      <x:c r="S30" s="15" t="str">
        <x:f>IF(A30="","",IF(R30="Cierre verificable","Verificada",IF(ISBLANK(H30),"Sin fecha objetivo",IF(OR(NOT(ISNUMBER(H30)),H30&lt;=0),"Fecha objetivo inválida",IF(OR(Parametros!$B$6="",NOT(ISNUMBER(Parametros!$B$6)),Parametros!$B$6&lt;=0),"Revisar fecha de corte",IF(H30&lt;Parametros!$B$6,"Vencida","En plazo"))))))</x:f>
      </x:c>
    </x:row>
    <x:row r="31" ht="62" customHeight="1">
      <x:c r="A31" s="12"/>
      <x:c r="B31" s="12"/>
      <x:c r="C31" s="12"/>
      <x:c r="D31" s="12"/>
      <x:c r="E31" s="12"/>
      <x:c r="F31" s="12"/>
      <x:c r="G31" s="12"/>
      <x:c r="H31" s="13"/>
      <x:c r="I31" s="12"/>
      <x:c r="J31" s="12"/>
      <x:c r="K31" s="12"/>
      <x:c r="L31" s="12"/>
      <x:c r="M31" s="12"/>
      <x:c r="N31" s="12"/>
      <x:c r="O31" s="13"/>
      <x:c r="P31" s="12"/>
      <x:c r="Q31" s="12"/>
      <x:c r="R31" s="15" t="str">
        <x:f>IF(A31="","",IF(I31&lt;&gt;"Cerrada","Abierta",IF(OR(J31="",L31="",M31="",N31&lt;&gt;"Conforme",O31="",NOT(ISNUMBER(O31)),O31&lt;=0,NOT(ISNUMBER(Parametros!$B$6)),Parametros!$B$6&lt;=0,O31&gt;Parametros!$B$6,AND(P31&lt;&gt;"Sí",P31&lt;&gt;"No"),AND(P31="Sí",Q31&lt;&gt;"Conforme")),"Cierre bloqueado","Cierre verificable")))</x:f>
      </x:c>
      <x:c r="S31" s="15" t="str">
        <x:f>IF(A31="","",IF(R31="Cierre verificable","Verificada",IF(ISBLANK(H31),"Sin fecha objetivo",IF(OR(NOT(ISNUMBER(H31)),H31&lt;=0),"Fecha objetivo inválida",IF(OR(Parametros!$B$6="",NOT(ISNUMBER(Parametros!$B$6)),Parametros!$B$6&lt;=0),"Revisar fecha de corte",IF(H31&lt;Parametros!$B$6,"Vencida","En plazo"))))))</x:f>
      </x:c>
    </x:row>
    <x:row r="32" ht="62" customHeight="1">
      <x:c r="A32" s="12"/>
      <x:c r="B32" s="12"/>
      <x:c r="C32" s="12"/>
      <x:c r="D32" s="12"/>
      <x:c r="E32" s="12"/>
      <x:c r="F32" s="12"/>
      <x:c r="G32" s="12"/>
      <x:c r="H32" s="13"/>
      <x:c r="I32" s="12"/>
      <x:c r="J32" s="12"/>
      <x:c r="K32" s="12"/>
      <x:c r="L32" s="12"/>
      <x:c r="M32" s="12"/>
      <x:c r="N32" s="12"/>
      <x:c r="O32" s="13"/>
      <x:c r="P32" s="12"/>
      <x:c r="Q32" s="12"/>
      <x:c r="R32" s="15" t="str">
        <x:f>IF(A32="","",IF(I32&lt;&gt;"Cerrada","Abierta",IF(OR(J32="",L32="",M32="",N32&lt;&gt;"Conforme",O32="",NOT(ISNUMBER(O32)),O32&lt;=0,NOT(ISNUMBER(Parametros!$B$6)),Parametros!$B$6&lt;=0,O32&gt;Parametros!$B$6,AND(P32&lt;&gt;"Sí",P32&lt;&gt;"No"),AND(P32="Sí",Q32&lt;&gt;"Conforme")),"Cierre bloqueado","Cierre verificable")))</x:f>
      </x:c>
      <x:c r="S32" s="15" t="str">
        <x:f>IF(A32="","",IF(R32="Cierre verificable","Verificada",IF(ISBLANK(H32),"Sin fecha objetivo",IF(OR(NOT(ISNUMBER(H32)),H32&lt;=0),"Fecha objetivo inválida",IF(OR(Parametros!$B$6="",NOT(ISNUMBER(Parametros!$B$6)),Parametros!$B$6&lt;=0),"Revisar fecha de corte",IF(H32&lt;Parametros!$B$6,"Vencida","En plazo"))))))</x:f>
      </x:c>
    </x:row>
    <x:row r="33" ht="62" customHeight="1">
      <x:c r="A33" s="12"/>
      <x:c r="B33" s="12"/>
      <x:c r="C33" s="12"/>
      <x:c r="D33" s="12"/>
      <x:c r="E33" s="12"/>
      <x:c r="F33" s="12"/>
      <x:c r="G33" s="12"/>
      <x:c r="H33" s="13"/>
      <x:c r="I33" s="12"/>
      <x:c r="J33" s="12"/>
      <x:c r="K33" s="12"/>
      <x:c r="L33" s="12"/>
      <x:c r="M33" s="12"/>
      <x:c r="N33" s="12"/>
      <x:c r="O33" s="13"/>
      <x:c r="P33" s="12"/>
      <x:c r="Q33" s="12"/>
      <x:c r="R33" s="15" t="str">
        <x:f>IF(A33="","",IF(I33&lt;&gt;"Cerrada","Abierta",IF(OR(J33="",L33="",M33="",N33&lt;&gt;"Conforme",O33="",NOT(ISNUMBER(O33)),O33&lt;=0,NOT(ISNUMBER(Parametros!$B$6)),Parametros!$B$6&lt;=0,O33&gt;Parametros!$B$6,AND(P33&lt;&gt;"Sí",P33&lt;&gt;"No"),AND(P33="Sí",Q33&lt;&gt;"Conforme")),"Cierre bloqueado","Cierre verificable")))</x:f>
      </x:c>
      <x:c r="S33" s="15" t="str">
        <x:f>IF(A33="","",IF(R33="Cierre verificable","Verificada",IF(ISBLANK(H33),"Sin fecha objetivo",IF(OR(NOT(ISNUMBER(H33)),H33&lt;=0),"Fecha objetivo inválida",IF(OR(Parametros!$B$6="",NOT(ISNUMBER(Parametros!$B$6)),Parametros!$B$6&lt;=0),"Revisar fecha de corte",IF(H33&lt;Parametros!$B$6,"Vencida","En plazo"))))))</x:f>
      </x:c>
    </x:row>
    <x:row r="34" ht="62" customHeight="1">
      <x:c r="A34" s="12"/>
      <x:c r="B34" s="12"/>
      <x:c r="C34" s="12"/>
      <x:c r="D34" s="12"/>
      <x:c r="E34" s="12"/>
      <x:c r="F34" s="12"/>
      <x:c r="G34" s="12"/>
      <x:c r="H34" s="13"/>
      <x:c r="I34" s="12"/>
      <x:c r="J34" s="12"/>
      <x:c r="K34" s="12"/>
      <x:c r="L34" s="12"/>
      <x:c r="M34" s="12"/>
      <x:c r="N34" s="12"/>
      <x:c r="O34" s="13"/>
      <x:c r="P34" s="12"/>
      <x:c r="Q34" s="12"/>
      <x:c r="R34" s="15" t="str">
        <x:f>IF(A34="","",IF(I34&lt;&gt;"Cerrada","Abierta",IF(OR(J34="",L34="",M34="",N34&lt;&gt;"Conforme",O34="",NOT(ISNUMBER(O34)),O34&lt;=0,NOT(ISNUMBER(Parametros!$B$6)),Parametros!$B$6&lt;=0,O34&gt;Parametros!$B$6,AND(P34&lt;&gt;"Sí",P34&lt;&gt;"No"),AND(P34="Sí",Q34&lt;&gt;"Conforme")),"Cierre bloqueado","Cierre verificable")))</x:f>
      </x:c>
      <x:c r="S34" s="15" t="str">
        <x:f>IF(A34="","",IF(R34="Cierre verificable","Verificada",IF(ISBLANK(H34),"Sin fecha objetivo",IF(OR(NOT(ISNUMBER(H34)),H34&lt;=0),"Fecha objetivo inválida",IF(OR(Parametros!$B$6="",NOT(ISNUMBER(Parametros!$B$6)),Parametros!$B$6&lt;=0),"Revisar fecha de corte",IF(H34&lt;Parametros!$B$6,"Vencida","En plazo"))))))</x:f>
      </x:c>
    </x:row>
    <x:row r="35" ht="62" customHeight="1">
      <x:c r="A35" s="12"/>
      <x:c r="B35" s="12"/>
      <x:c r="C35" s="12"/>
      <x:c r="D35" s="12"/>
      <x:c r="E35" s="12"/>
      <x:c r="F35" s="12"/>
      <x:c r="G35" s="12"/>
      <x:c r="H35" s="13"/>
      <x:c r="I35" s="12"/>
      <x:c r="J35" s="12"/>
      <x:c r="K35" s="12"/>
      <x:c r="L35" s="12"/>
      <x:c r="M35" s="12"/>
      <x:c r="N35" s="12"/>
      <x:c r="O35" s="13"/>
      <x:c r="P35" s="12"/>
      <x:c r="Q35" s="12"/>
      <x:c r="R35" s="15" t="str">
        <x:f>IF(A35="","",IF(I35&lt;&gt;"Cerrada","Abierta",IF(OR(J35="",L35="",M35="",N35&lt;&gt;"Conforme",O35="",NOT(ISNUMBER(O35)),O35&lt;=0,NOT(ISNUMBER(Parametros!$B$6)),Parametros!$B$6&lt;=0,O35&gt;Parametros!$B$6,AND(P35&lt;&gt;"Sí",P35&lt;&gt;"No"),AND(P35="Sí",Q35&lt;&gt;"Conforme")),"Cierre bloqueado","Cierre verificable")))</x:f>
      </x:c>
      <x:c r="S35" s="15" t="str">
        <x:f>IF(A35="","",IF(R35="Cierre verificable","Verificada",IF(ISBLANK(H35),"Sin fecha objetivo",IF(OR(NOT(ISNUMBER(H35)),H35&lt;=0),"Fecha objetivo inválida",IF(OR(Parametros!$B$6="",NOT(ISNUMBER(Parametros!$B$6)),Parametros!$B$6&lt;=0),"Revisar fecha de corte",IF(H35&lt;Parametros!$B$6,"Vencida","En plazo"))))))</x:f>
      </x:c>
    </x:row>
    <x:row r="36" ht="62" customHeight="1">
      <x:c r="A36" s="12"/>
      <x:c r="B36" s="12"/>
      <x:c r="C36" s="12"/>
      <x:c r="D36" s="12"/>
      <x:c r="E36" s="12"/>
      <x:c r="F36" s="12"/>
      <x:c r="G36" s="12"/>
      <x:c r="H36" s="13"/>
      <x:c r="I36" s="12"/>
      <x:c r="J36" s="12"/>
      <x:c r="K36" s="12"/>
      <x:c r="L36" s="12"/>
      <x:c r="M36" s="12"/>
      <x:c r="N36" s="12"/>
      <x:c r="O36" s="13"/>
      <x:c r="P36" s="12"/>
      <x:c r="Q36" s="12"/>
      <x:c r="R36" s="15" t="str">
        <x:f>IF(A36="","",IF(I36&lt;&gt;"Cerrada","Abierta",IF(OR(J36="",L36="",M36="",N36&lt;&gt;"Conforme",O36="",NOT(ISNUMBER(O36)),O36&lt;=0,NOT(ISNUMBER(Parametros!$B$6)),Parametros!$B$6&lt;=0,O36&gt;Parametros!$B$6,AND(P36&lt;&gt;"Sí",P36&lt;&gt;"No"),AND(P36="Sí",Q36&lt;&gt;"Conforme")),"Cierre bloqueado","Cierre verificable")))</x:f>
      </x:c>
      <x:c r="S36" s="15" t="str">
        <x:f>IF(A36="","",IF(R36="Cierre verificable","Verificada",IF(ISBLANK(H36),"Sin fecha objetivo",IF(OR(NOT(ISNUMBER(H36)),H36&lt;=0),"Fecha objetivo inválida",IF(OR(Parametros!$B$6="",NOT(ISNUMBER(Parametros!$B$6)),Parametros!$B$6&lt;=0),"Revisar fecha de corte",IF(H36&lt;Parametros!$B$6,"Vencida","En plazo"))))))</x:f>
      </x:c>
    </x:row>
    <x:row r="37" ht="62" customHeight="1">
      <x:c r="A37" s="12"/>
      <x:c r="B37" s="12"/>
      <x:c r="C37" s="12"/>
      <x:c r="D37" s="12"/>
      <x:c r="E37" s="12"/>
      <x:c r="F37" s="12"/>
      <x:c r="G37" s="12"/>
      <x:c r="H37" s="13"/>
      <x:c r="I37" s="12"/>
      <x:c r="J37" s="12"/>
      <x:c r="K37" s="12"/>
      <x:c r="L37" s="12"/>
      <x:c r="M37" s="12"/>
      <x:c r="N37" s="12"/>
      <x:c r="O37" s="13"/>
      <x:c r="P37" s="12"/>
      <x:c r="Q37" s="12"/>
      <x:c r="R37" s="15" t="str">
        <x:f>IF(A37="","",IF(I37&lt;&gt;"Cerrada","Abierta",IF(OR(J37="",L37="",M37="",N37&lt;&gt;"Conforme",O37="",NOT(ISNUMBER(O37)),O37&lt;=0,NOT(ISNUMBER(Parametros!$B$6)),Parametros!$B$6&lt;=0,O37&gt;Parametros!$B$6,AND(P37&lt;&gt;"Sí",P37&lt;&gt;"No"),AND(P37="Sí",Q37&lt;&gt;"Conforme")),"Cierre bloqueado","Cierre verificable")))</x:f>
      </x:c>
      <x:c r="S37" s="15" t="str">
        <x:f>IF(A37="","",IF(R37="Cierre verificable","Verificada",IF(ISBLANK(H37),"Sin fecha objetivo",IF(OR(NOT(ISNUMBER(H37)),H37&lt;=0),"Fecha objetivo inválida",IF(OR(Parametros!$B$6="",NOT(ISNUMBER(Parametros!$B$6)),Parametros!$B$6&lt;=0),"Revisar fecha de corte",IF(H37&lt;Parametros!$B$6,"Vencida","En plazo"))))))</x:f>
      </x:c>
    </x:row>
    <x:row r="38" ht="62" customHeight="1">
      <x:c r="A38" s="12"/>
      <x:c r="B38" s="12"/>
      <x:c r="C38" s="12"/>
      <x:c r="D38" s="12"/>
      <x:c r="E38" s="12"/>
      <x:c r="F38" s="12"/>
      <x:c r="G38" s="12"/>
      <x:c r="H38" s="13"/>
      <x:c r="I38" s="12"/>
      <x:c r="J38" s="12"/>
      <x:c r="K38" s="12"/>
      <x:c r="L38" s="12"/>
      <x:c r="M38" s="12"/>
      <x:c r="N38" s="12"/>
      <x:c r="O38" s="13"/>
      <x:c r="P38" s="12"/>
      <x:c r="Q38" s="12"/>
      <x:c r="R38" s="15" t="str">
        <x:f>IF(A38="","",IF(I38&lt;&gt;"Cerrada","Abierta",IF(OR(J38="",L38="",M38="",N38&lt;&gt;"Conforme",O38="",NOT(ISNUMBER(O38)),O38&lt;=0,NOT(ISNUMBER(Parametros!$B$6)),Parametros!$B$6&lt;=0,O38&gt;Parametros!$B$6,AND(P38&lt;&gt;"Sí",P38&lt;&gt;"No"),AND(P38="Sí",Q38&lt;&gt;"Conforme")),"Cierre bloqueado","Cierre verificable")))</x:f>
      </x:c>
      <x:c r="S38" s="15" t="str">
        <x:f>IF(A38="","",IF(R38="Cierre verificable","Verificada",IF(ISBLANK(H38),"Sin fecha objetivo",IF(OR(NOT(ISNUMBER(H38)),H38&lt;=0),"Fecha objetivo inválida",IF(OR(Parametros!$B$6="",NOT(ISNUMBER(Parametros!$B$6)),Parametros!$B$6&lt;=0),"Revisar fecha de corte",IF(H38&lt;Parametros!$B$6,"Vencida","En plazo"))))))</x:f>
      </x:c>
    </x:row>
    <x:row r="39" ht="62" customHeight="1">
      <x:c r="A39" s="12"/>
      <x:c r="B39" s="12"/>
      <x:c r="C39" s="12"/>
      <x:c r="D39" s="12"/>
      <x:c r="E39" s="12"/>
      <x:c r="F39" s="12"/>
      <x:c r="G39" s="12"/>
      <x:c r="H39" s="13"/>
      <x:c r="I39" s="12"/>
      <x:c r="J39" s="12"/>
      <x:c r="K39" s="12"/>
      <x:c r="L39" s="12"/>
      <x:c r="M39" s="12"/>
      <x:c r="N39" s="12"/>
      <x:c r="O39" s="13"/>
      <x:c r="P39" s="12"/>
      <x:c r="Q39" s="12"/>
      <x:c r="R39" s="15" t="str">
        <x:f>IF(A39="","",IF(I39&lt;&gt;"Cerrada","Abierta",IF(OR(J39="",L39="",M39="",N39&lt;&gt;"Conforme",O39="",NOT(ISNUMBER(O39)),O39&lt;=0,NOT(ISNUMBER(Parametros!$B$6)),Parametros!$B$6&lt;=0,O39&gt;Parametros!$B$6,AND(P39&lt;&gt;"Sí",P39&lt;&gt;"No"),AND(P39="Sí",Q39&lt;&gt;"Conforme")),"Cierre bloqueado","Cierre verificable")))</x:f>
      </x:c>
      <x:c r="S39" s="15" t="str">
        <x:f>IF(A39="","",IF(R39="Cierre verificable","Verificada",IF(ISBLANK(H39),"Sin fecha objetivo",IF(OR(NOT(ISNUMBER(H39)),H39&lt;=0),"Fecha objetivo inválida",IF(OR(Parametros!$B$6="",NOT(ISNUMBER(Parametros!$B$6)),Parametros!$B$6&lt;=0),"Revisar fecha de corte",IF(H39&lt;Parametros!$B$6,"Vencida","En plazo"))))))</x:f>
      </x:c>
    </x:row>
    <x:row r="40" ht="62" customHeight="1">
      <x:c r="A40" s="12"/>
      <x:c r="B40" s="12"/>
      <x:c r="C40" s="12"/>
      <x:c r="D40" s="12"/>
      <x:c r="E40" s="12"/>
      <x:c r="F40" s="12"/>
      <x:c r="G40" s="12"/>
      <x:c r="H40" s="13"/>
      <x:c r="I40" s="12"/>
      <x:c r="J40" s="12"/>
      <x:c r="K40" s="12"/>
      <x:c r="L40" s="12"/>
      <x:c r="M40" s="12"/>
      <x:c r="N40" s="12"/>
      <x:c r="O40" s="13"/>
      <x:c r="P40" s="12"/>
      <x:c r="Q40" s="12"/>
      <x:c r="R40" s="15" t="str">
        <x:f>IF(A40="","",IF(I40&lt;&gt;"Cerrada","Abierta",IF(OR(J40="",L40="",M40="",N40&lt;&gt;"Conforme",O40="",NOT(ISNUMBER(O40)),O40&lt;=0,NOT(ISNUMBER(Parametros!$B$6)),Parametros!$B$6&lt;=0,O40&gt;Parametros!$B$6,AND(P40&lt;&gt;"Sí",P40&lt;&gt;"No"),AND(P40="Sí",Q40&lt;&gt;"Conforme")),"Cierre bloqueado","Cierre verificable")))</x:f>
      </x:c>
      <x:c r="S40" s="15" t="str">
        <x:f>IF(A40="","",IF(R40="Cierre verificable","Verificada",IF(ISBLANK(H40),"Sin fecha objetivo",IF(OR(NOT(ISNUMBER(H40)),H40&lt;=0),"Fecha objetivo inválida",IF(OR(Parametros!$B$6="",NOT(ISNUMBER(Parametros!$B$6)),Parametros!$B$6&lt;=0),"Revisar fecha de corte",IF(H40&lt;Parametros!$B$6,"Vencida","En plazo"))))))</x:f>
      </x:c>
    </x:row>
    <x:row r="41" ht="62" customHeight="1">
      <x:c r="A41" s="12"/>
      <x:c r="B41" s="12"/>
      <x:c r="C41" s="12"/>
      <x:c r="D41" s="12"/>
      <x:c r="E41" s="12"/>
      <x:c r="F41" s="12"/>
      <x:c r="G41" s="12"/>
      <x:c r="H41" s="13"/>
      <x:c r="I41" s="12"/>
      <x:c r="J41" s="12"/>
      <x:c r="K41" s="12"/>
      <x:c r="L41" s="12"/>
      <x:c r="M41" s="12"/>
      <x:c r="N41" s="12"/>
      <x:c r="O41" s="13"/>
      <x:c r="P41" s="12"/>
      <x:c r="Q41" s="12"/>
      <x:c r="R41" s="15" t="str">
        <x:f>IF(A41="","",IF(I41&lt;&gt;"Cerrada","Abierta",IF(OR(J41="",L41="",M41="",N41&lt;&gt;"Conforme",O41="",NOT(ISNUMBER(O41)),O41&lt;=0,NOT(ISNUMBER(Parametros!$B$6)),Parametros!$B$6&lt;=0,O41&gt;Parametros!$B$6,AND(P41&lt;&gt;"Sí",P41&lt;&gt;"No"),AND(P41="Sí",Q41&lt;&gt;"Conforme")),"Cierre bloqueado","Cierre verificable")))</x:f>
      </x:c>
      <x:c r="S41" s="15" t="str">
        <x:f>IF(A41="","",IF(R41="Cierre verificable","Verificada",IF(ISBLANK(H41),"Sin fecha objetivo",IF(OR(NOT(ISNUMBER(H41)),H41&lt;=0),"Fecha objetivo inválida",IF(OR(Parametros!$B$6="",NOT(ISNUMBER(Parametros!$B$6)),Parametros!$B$6&lt;=0),"Revisar fecha de corte",IF(H41&lt;Parametros!$B$6,"Vencida","En plazo"))))))</x:f>
      </x:c>
    </x:row>
    <x:row r="42" ht="62" customHeight="1">
      <x:c r="A42" s="12"/>
      <x:c r="B42" s="12"/>
      <x:c r="C42" s="12"/>
      <x:c r="D42" s="12"/>
      <x:c r="E42" s="12"/>
      <x:c r="F42" s="12"/>
      <x:c r="G42" s="12"/>
      <x:c r="H42" s="13"/>
      <x:c r="I42" s="12"/>
      <x:c r="J42" s="12"/>
      <x:c r="K42" s="12"/>
      <x:c r="L42" s="12"/>
      <x:c r="M42" s="12"/>
      <x:c r="N42" s="12"/>
      <x:c r="O42" s="13"/>
      <x:c r="P42" s="12"/>
      <x:c r="Q42" s="12"/>
      <x:c r="R42" s="15" t="str">
        <x:f>IF(A42="","",IF(I42&lt;&gt;"Cerrada","Abierta",IF(OR(J42="",L42="",M42="",N42&lt;&gt;"Conforme",O42="",NOT(ISNUMBER(O42)),O42&lt;=0,NOT(ISNUMBER(Parametros!$B$6)),Parametros!$B$6&lt;=0,O42&gt;Parametros!$B$6,AND(P42&lt;&gt;"Sí",P42&lt;&gt;"No"),AND(P42="Sí",Q42&lt;&gt;"Conforme")),"Cierre bloqueado","Cierre verificable")))</x:f>
      </x:c>
      <x:c r="S42" s="15" t="str">
        <x:f>IF(A42="","",IF(R42="Cierre verificable","Verificada",IF(ISBLANK(H42),"Sin fecha objetivo",IF(OR(NOT(ISNUMBER(H42)),H42&lt;=0),"Fecha objetivo inválida",IF(OR(Parametros!$B$6="",NOT(ISNUMBER(Parametros!$B$6)),Parametros!$B$6&lt;=0),"Revisar fecha de corte",IF(H42&lt;Parametros!$B$6,"Vencida","En plazo"))))))</x:f>
      </x:c>
    </x:row>
    <x:row r="43" ht="62" customHeight="1">
      <x:c r="A43" s="12"/>
      <x:c r="B43" s="12"/>
      <x:c r="C43" s="12"/>
      <x:c r="D43" s="12"/>
      <x:c r="E43" s="12"/>
      <x:c r="F43" s="12"/>
      <x:c r="G43" s="12"/>
      <x:c r="H43" s="13"/>
      <x:c r="I43" s="12"/>
      <x:c r="J43" s="12"/>
      <x:c r="K43" s="12"/>
      <x:c r="L43" s="12"/>
      <x:c r="M43" s="12"/>
      <x:c r="N43" s="12"/>
      <x:c r="O43" s="13"/>
      <x:c r="P43" s="12"/>
      <x:c r="Q43" s="12"/>
      <x:c r="R43" s="15" t="str">
        <x:f>IF(A43="","",IF(I43&lt;&gt;"Cerrada","Abierta",IF(OR(J43="",L43="",M43="",N43&lt;&gt;"Conforme",O43="",NOT(ISNUMBER(O43)),O43&lt;=0,NOT(ISNUMBER(Parametros!$B$6)),Parametros!$B$6&lt;=0,O43&gt;Parametros!$B$6,AND(P43&lt;&gt;"Sí",P43&lt;&gt;"No"),AND(P43="Sí",Q43&lt;&gt;"Conforme")),"Cierre bloqueado","Cierre verificable")))</x:f>
      </x:c>
      <x:c r="S43" s="15" t="str">
        <x:f>IF(A43="","",IF(R43="Cierre verificable","Verificada",IF(ISBLANK(H43),"Sin fecha objetivo",IF(OR(NOT(ISNUMBER(H43)),H43&lt;=0),"Fecha objetivo inválida",IF(OR(Parametros!$B$6="",NOT(ISNUMBER(Parametros!$B$6)),Parametros!$B$6&lt;=0),"Revisar fecha de corte",IF(H43&lt;Parametros!$B$6,"Vencida","En plazo"))))))</x:f>
      </x:c>
    </x:row>
    <x:row r="44" ht="62" customHeight="1">
      <x:c r="A44" s="12"/>
      <x:c r="B44" s="12"/>
      <x:c r="C44" s="12"/>
      <x:c r="D44" s="12"/>
      <x:c r="E44" s="12"/>
      <x:c r="F44" s="12"/>
      <x:c r="G44" s="12"/>
      <x:c r="H44" s="13"/>
      <x:c r="I44" s="12"/>
      <x:c r="J44" s="12"/>
      <x:c r="K44" s="12"/>
      <x:c r="L44" s="12"/>
      <x:c r="M44" s="12"/>
      <x:c r="N44" s="12"/>
      <x:c r="O44" s="13"/>
      <x:c r="P44" s="12"/>
      <x:c r="Q44" s="12"/>
      <x:c r="R44" s="15" t="str">
        <x:f>IF(A44="","",IF(I44&lt;&gt;"Cerrada","Abierta",IF(OR(J44="",L44="",M44="",N44&lt;&gt;"Conforme",O44="",NOT(ISNUMBER(O44)),O44&lt;=0,NOT(ISNUMBER(Parametros!$B$6)),Parametros!$B$6&lt;=0,O44&gt;Parametros!$B$6,AND(P44&lt;&gt;"Sí",P44&lt;&gt;"No"),AND(P44="Sí",Q44&lt;&gt;"Conforme")),"Cierre bloqueado","Cierre verificable")))</x:f>
      </x:c>
      <x:c r="S44" s="15" t="str">
        <x:f>IF(A44="","",IF(R44="Cierre verificable","Verificada",IF(ISBLANK(H44),"Sin fecha objetivo",IF(OR(NOT(ISNUMBER(H44)),H44&lt;=0),"Fecha objetivo inválida",IF(OR(Parametros!$B$6="",NOT(ISNUMBER(Parametros!$B$6)),Parametros!$B$6&lt;=0),"Revisar fecha de corte",IF(H44&lt;Parametros!$B$6,"Vencida","En plazo"))))))</x:f>
      </x:c>
    </x:row>
    <x:row r="45" ht="62" customHeight="1">
      <x:c r="A45" s="12"/>
      <x:c r="B45" s="12"/>
      <x:c r="C45" s="12"/>
      <x:c r="D45" s="12"/>
      <x:c r="E45" s="12"/>
      <x:c r="F45" s="12"/>
      <x:c r="G45" s="12"/>
      <x:c r="H45" s="13"/>
      <x:c r="I45" s="12"/>
      <x:c r="J45" s="12"/>
      <x:c r="K45" s="12"/>
      <x:c r="L45" s="12"/>
      <x:c r="M45" s="12"/>
      <x:c r="N45" s="12"/>
      <x:c r="O45" s="13"/>
      <x:c r="P45" s="12"/>
      <x:c r="Q45" s="12"/>
      <x:c r="R45" s="15" t="str">
        <x:f>IF(A45="","",IF(I45&lt;&gt;"Cerrada","Abierta",IF(OR(J45="",L45="",M45="",N45&lt;&gt;"Conforme",O45="",NOT(ISNUMBER(O45)),O45&lt;=0,NOT(ISNUMBER(Parametros!$B$6)),Parametros!$B$6&lt;=0,O45&gt;Parametros!$B$6,AND(P45&lt;&gt;"Sí",P45&lt;&gt;"No"),AND(P45="Sí",Q45&lt;&gt;"Conforme")),"Cierre bloqueado","Cierre verificable")))</x:f>
      </x:c>
      <x:c r="S45" s="15" t="str">
        <x:f>IF(A45="","",IF(R45="Cierre verificable","Verificada",IF(ISBLANK(H45),"Sin fecha objetivo",IF(OR(NOT(ISNUMBER(H45)),H45&lt;=0),"Fecha objetivo inválida",IF(OR(Parametros!$B$6="",NOT(ISNUMBER(Parametros!$B$6)),Parametros!$B$6&lt;=0),"Revisar fecha de corte",IF(H45&lt;Parametros!$B$6,"Vencida","En plazo"))))))</x:f>
      </x:c>
    </x:row>
    <x:row r="46" ht="62" customHeight="1">
      <x:c r="A46" s="12"/>
      <x:c r="B46" s="12"/>
      <x:c r="C46" s="12"/>
      <x:c r="D46" s="12"/>
      <x:c r="E46" s="12"/>
      <x:c r="F46" s="12"/>
      <x:c r="G46" s="12"/>
      <x:c r="H46" s="13"/>
      <x:c r="I46" s="12"/>
      <x:c r="J46" s="12"/>
      <x:c r="K46" s="12"/>
      <x:c r="L46" s="12"/>
      <x:c r="M46" s="12"/>
      <x:c r="N46" s="12"/>
      <x:c r="O46" s="13"/>
      <x:c r="P46" s="12"/>
      <x:c r="Q46" s="12"/>
      <x:c r="R46" s="15" t="str">
        <x:f>IF(A46="","",IF(I46&lt;&gt;"Cerrada","Abierta",IF(OR(J46="",L46="",M46="",N46&lt;&gt;"Conforme",O46="",NOT(ISNUMBER(O46)),O46&lt;=0,NOT(ISNUMBER(Parametros!$B$6)),Parametros!$B$6&lt;=0,O46&gt;Parametros!$B$6,AND(P46&lt;&gt;"Sí",P46&lt;&gt;"No"),AND(P46="Sí",Q46&lt;&gt;"Conforme")),"Cierre bloqueado","Cierre verificable")))</x:f>
      </x:c>
      <x:c r="S46" s="15" t="str">
        <x:f>IF(A46="","",IF(R46="Cierre verificable","Verificada",IF(ISBLANK(H46),"Sin fecha objetivo",IF(OR(NOT(ISNUMBER(H46)),H46&lt;=0),"Fecha objetivo inválida",IF(OR(Parametros!$B$6="",NOT(ISNUMBER(Parametros!$B$6)),Parametros!$B$6&lt;=0),"Revisar fecha de corte",IF(H46&lt;Parametros!$B$6,"Vencida","En plazo"))))))</x:f>
      </x:c>
    </x:row>
    <x:row r="47" ht="62" customHeight="1">
      <x:c r="A47" s="12"/>
      <x:c r="B47" s="12"/>
      <x:c r="C47" s="12"/>
      <x:c r="D47" s="12"/>
      <x:c r="E47" s="12"/>
      <x:c r="F47" s="12"/>
      <x:c r="G47" s="12"/>
      <x:c r="H47" s="13"/>
      <x:c r="I47" s="12"/>
      <x:c r="J47" s="12"/>
      <x:c r="K47" s="12"/>
      <x:c r="L47" s="12"/>
      <x:c r="M47" s="12"/>
      <x:c r="N47" s="12"/>
      <x:c r="O47" s="13"/>
      <x:c r="P47" s="12"/>
      <x:c r="Q47" s="12"/>
      <x:c r="R47" s="15" t="str">
        <x:f>IF(A47="","",IF(I47&lt;&gt;"Cerrada","Abierta",IF(OR(J47="",L47="",M47="",N47&lt;&gt;"Conforme",O47="",NOT(ISNUMBER(O47)),O47&lt;=0,NOT(ISNUMBER(Parametros!$B$6)),Parametros!$B$6&lt;=0,O47&gt;Parametros!$B$6,AND(P47&lt;&gt;"Sí",P47&lt;&gt;"No"),AND(P47="Sí",Q47&lt;&gt;"Conforme")),"Cierre bloqueado","Cierre verificable")))</x:f>
      </x:c>
      <x:c r="S47" s="15" t="str">
        <x:f>IF(A47="","",IF(R47="Cierre verificable","Verificada",IF(ISBLANK(H47),"Sin fecha objetivo",IF(OR(NOT(ISNUMBER(H47)),H47&lt;=0),"Fecha objetivo inválida",IF(OR(Parametros!$B$6="",NOT(ISNUMBER(Parametros!$B$6)),Parametros!$B$6&lt;=0),"Revisar fecha de corte",IF(H47&lt;Parametros!$B$6,"Vencida","En plazo"))))))</x:f>
      </x:c>
    </x:row>
    <x:row r="48" ht="62" customHeight="1">
      <x:c r="A48" s="12"/>
      <x:c r="B48" s="12"/>
      <x:c r="C48" s="12"/>
      <x:c r="D48" s="12"/>
      <x:c r="E48" s="12"/>
      <x:c r="F48" s="12"/>
      <x:c r="G48" s="12"/>
      <x:c r="H48" s="13"/>
      <x:c r="I48" s="12"/>
      <x:c r="J48" s="12"/>
      <x:c r="K48" s="12"/>
      <x:c r="L48" s="12"/>
      <x:c r="M48" s="12"/>
      <x:c r="N48" s="12"/>
      <x:c r="O48" s="13"/>
      <x:c r="P48" s="12"/>
      <x:c r="Q48" s="12"/>
      <x:c r="R48" s="15" t="str">
        <x:f>IF(A48="","",IF(I48&lt;&gt;"Cerrada","Abierta",IF(OR(J48="",L48="",M48="",N48&lt;&gt;"Conforme",O48="",NOT(ISNUMBER(O48)),O48&lt;=0,NOT(ISNUMBER(Parametros!$B$6)),Parametros!$B$6&lt;=0,O48&gt;Parametros!$B$6,AND(P48&lt;&gt;"Sí",P48&lt;&gt;"No"),AND(P48="Sí",Q48&lt;&gt;"Conforme")),"Cierre bloqueado","Cierre verificable")))</x:f>
      </x:c>
      <x:c r="S48" s="15" t="str">
        <x:f>IF(A48="","",IF(R48="Cierre verificable","Verificada",IF(ISBLANK(H48),"Sin fecha objetivo",IF(OR(NOT(ISNUMBER(H48)),H48&lt;=0),"Fecha objetivo inválida",IF(OR(Parametros!$B$6="",NOT(ISNUMBER(Parametros!$B$6)),Parametros!$B$6&lt;=0),"Revisar fecha de corte",IF(H48&lt;Parametros!$B$6,"Vencida","En plazo"))))))</x:f>
      </x:c>
    </x:row>
    <x:row r="49" ht="62" customHeight="1">
      <x:c r="A49" s="12"/>
      <x:c r="B49" s="12"/>
      <x:c r="C49" s="12"/>
      <x:c r="D49" s="12"/>
      <x:c r="E49" s="12"/>
      <x:c r="F49" s="12"/>
      <x:c r="G49" s="12"/>
      <x:c r="H49" s="13"/>
      <x:c r="I49" s="12"/>
      <x:c r="J49" s="12"/>
      <x:c r="K49" s="12"/>
      <x:c r="L49" s="12"/>
      <x:c r="M49" s="12"/>
      <x:c r="N49" s="12"/>
      <x:c r="O49" s="13"/>
      <x:c r="P49" s="12"/>
      <x:c r="Q49" s="12"/>
      <x:c r="R49" s="15" t="str">
        <x:f>IF(A49="","",IF(I49&lt;&gt;"Cerrada","Abierta",IF(OR(J49="",L49="",M49="",N49&lt;&gt;"Conforme",O49="",NOT(ISNUMBER(O49)),O49&lt;=0,NOT(ISNUMBER(Parametros!$B$6)),Parametros!$B$6&lt;=0,O49&gt;Parametros!$B$6,AND(P49&lt;&gt;"Sí",P49&lt;&gt;"No"),AND(P49="Sí",Q49&lt;&gt;"Conforme")),"Cierre bloqueado","Cierre verificable")))</x:f>
      </x:c>
      <x:c r="S49" s="15" t="str">
        <x:f>IF(A49="","",IF(R49="Cierre verificable","Verificada",IF(ISBLANK(H49),"Sin fecha objetivo",IF(OR(NOT(ISNUMBER(H49)),H49&lt;=0),"Fecha objetivo inválida",IF(OR(Parametros!$B$6="",NOT(ISNUMBER(Parametros!$B$6)),Parametros!$B$6&lt;=0),"Revisar fecha de corte",IF(H49&lt;Parametros!$B$6,"Vencida","En plazo"))))))</x:f>
      </x:c>
    </x:row>
    <x:row r="50" ht="62" customHeight="1">
      <x:c r="A50" s="12"/>
      <x:c r="B50" s="12"/>
      <x:c r="C50" s="12"/>
      <x:c r="D50" s="12"/>
      <x:c r="E50" s="12"/>
      <x:c r="F50" s="12"/>
      <x:c r="G50" s="12"/>
      <x:c r="H50" s="13"/>
      <x:c r="I50" s="12"/>
      <x:c r="J50" s="12"/>
      <x:c r="K50" s="12"/>
      <x:c r="L50" s="12"/>
      <x:c r="M50" s="12"/>
      <x:c r="N50" s="12"/>
      <x:c r="O50" s="13"/>
      <x:c r="P50" s="12"/>
      <x:c r="Q50" s="12"/>
      <x:c r="R50" s="15" t="str">
        <x:f>IF(A50="","",IF(I50&lt;&gt;"Cerrada","Abierta",IF(OR(J50="",L50="",M50="",N50&lt;&gt;"Conforme",O50="",NOT(ISNUMBER(O50)),O50&lt;=0,NOT(ISNUMBER(Parametros!$B$6)),Parametros!$B$6&lt;=0,O50&gt;Parametros!$B$6,AND(P50&lt;&gt;"Sí",P50&lt;&gt;"No"),AND(P50="Sí",Q50&lt;&gt;"Conforme")),"Cierre bloqueado","Cierre verificable")))</x:f>
      </x:c>
      <x:c r="S50" s="15" t="str">
        <x:f>IF(A50="","",IF(R50="Cierre verificable","Verificada",IF(ISBLANK(H50),"Sin fecha objetivo",IF(OR(NOT(ISNUMBER(H50)),H50&lt;=0),"Fecha objetivo inválida",IF(OR(Parametros!$B$6="",NOT(ISNUMBER(Parametros!$B$6)),Parametros!$B$6&lt;=0),"Revisar fecha de corte",IF(H50&lt;Parametros!$B$6,"Vencida","En plazo"))))))</x:f>
      </x:c>
    </x:row>
    <x:row r="51" ht="62" customHeight="1">
      <x:c r="A51" s="12"/>
      <x:c r="B51" s="12"/>
      <x:c r="C51" s="12"/>
      <x:c r="D51" s="12"/>
      <x:c r="E51" s="12"/>
      <x:c r="F51" s="12"/>
      <x:c r="G51" s="12"/>
      <x:c r="H51" s="13"/>
      <x:c r="I51" s="12"/>
      <x:c r="J51" s="12"/>
      <x:c r="K51" s="12"/>
      <x:c r="L51" s="12"/>
      <x:c r="M51" s="12"/>
      <x:c r="N51" s="12"/>
      <x:c r="O51" s="13"/>
      <x:c r="P51" s="12"/>
      <x:c r="Q51" s="12"/>
      <x:c r="R51" s="15" t="str">
        <x:f>IF(A51="","",IF(I51&lt;&gt;"Cerrada","Abierta",IF(OR(J51="",L51="",M51="",N51&lt;&gt;"Conforme",O51="",NOT(ISNUMBER(O51)),O51&lt;=0,NOT(ISNUMBER(Parametros!$B$6)),Parametros!$B$6&lt;=0,O51&gt;Parametros!$B$6,AND(P51&lt;&gt;"Sí",P51&lt;&gt;"No"),AND(P51="Sí",Q51&lt;&gt;"Conforme")),"Cierre bloqueado","Cierre verificable")))</x:f>
      </x:c>
      <x:c r="S51" s="15" t="str">
        <x:f>IF(A51="","",IF(R51="Cierre verificable","Verificada",IF(ISBLANK(H51),"Sin fecha objetivo",IF(OR(NOT(ISNUMBER(H51)),H51&lt;=0),"Fecha objetivo inválida",IF(OR(Parametros!$B$6="",NOT(ISNUMBER(Parametros!$B$6)),Parametros!$B$6&lt;=0),"Revisar fecha de corte",IF(H51&lt;Parametros!$B$6,"Vencida","En plazo"))))))</x:f>
      </x:c>
    </x:row>
    <x:row r="52" ht="62" customHeight="1">
      <x:c r="A52" s="12"/>
      <x:c r="B52" s="12"/>
      <x:c r="C52" s="12"/>
      <x:c r="D52" s="12"/>
      <x:c r="E52" s="12"/>
      <x:c r="F52" s="12"/>
      <x:c r="G52" s="12"/>
      <x:c r="H52" s="13"/>
      <x:c r="I52" s="12"/>
      <x:c r="J52" s="12"/>
      <x:c r="K52" s="12"/>
      <x:c r="L52" s="12"/>
      <x:c r="M52" s="12"/>
      <x:c r="N52" s="12"/>
      <x:c r="O52" s="13"/>
      <x:c r="P52" s="12"/>
      <x:c r="Q52" s="12"/>
      <x:c r="R52" s="15" t="str">
        <x:f>IF(A52="","",IF(I52&lt;&gt;"Cerrada","Abierta",IF(OR(J52="",L52="",M52="",N52&lt;&gt;"Conforme",O52="",NOT(ISNUMBER(O52)),O52&lt;=0,NOT(ISNUMBER(Parametros!$B$6)),Parametros!$B$6&lt;=0,O52&gt;Parametros!$B$6,AND(P52&lt;&gt;"Sí",P52&lt;&gt;"No"),AND(P52="Sí",Q52&lt;&gt;"Conforme")),"Cierre bloqueado","Cierre verificable")))</x:f>
      </x:c>
      <x:c r="S52" s="15" t="str">
        <x:f>IF(A52="","",IF(R52="Cierre verificable","Verificada",IF(ISBLANK(H52),"Sin fecha objetivo",IF(OR(NOT(ISNUMBER(H52)),H52&lt;=0),"Fecha objetivo inválida",IF(OR(Parametros!$B$6="",NOT(ISNUMBER(Parametros!$B$6)),Parametros!$B$6&lt;=0),"Revisar fecha de corte",IF(H52&lt;Parametros!$B$6,"Vencida","En plazo"))))))</x:f>
      </x:c>
    </x:row>
    <x:row r="53" ht="62" customHeight="1">
      <x:c r="A53" s="12"/>
      <x:c r="B53" s="12"/>
      <x:c r="C53" s="12"/>
      <x:c r="D53" s="12"/>
      <x:c r="E53" s="12"/>
      <x:c r="F53" s="12"/>
      <x:c r="G53" s="12"/>
      <x:c r="H53" s="13"/>
      <x:c r="I53" s="12"/>
      <x:c r="J53" s="12"/>
      <x:c r="K53" s="12"/>
      <x:c r="L53" s="12"/>
      <x:c r="M53" s="12"/>
      <x:c r="N53" s="12"/>
      <x:c r="O53" s="13"/>
      <x:c r="P53" s="12"/>
      <x:c r="Q53" s="12"/>
      <x:c r="R53" s="15" t="str">
        <x:f>IF(A53="","",IF(I53&lt;&gt;"Cerrada","Abierta",IF(OR(J53="",L53="",M53="",N53&lt;&gt;"Conforme",O53="",NOT(ISNUMBER(O53)),O53&lt;=0,NOT(ISNUMBER(Parametros!$B$6)),Parametros!$B$6&lt;=0,O53&gt;Parametros!$B$6,AND(P53&lt;&gt;"Sí",P53&lt;&gt;"No"),AND(P53="Sí",Q53&lt;&gt;"Conforme")),"Cierre bloqueado","Cierre verificable")))</x:f>
      </x:c>
      <x:c r="S53" s="15" t="str">
        <x:f>IF(A53="","",IF(R53="Cierre verificable","Verificada",IF(ISBLANK(H53),"Sin fecha objetivo",IF(OR(NOT(ISNUMBER(H53)),H53&lt;=0),"Fecha objetivo inválida",IF(OR(Parametros!$B$6="",NOT(ISNUMBER(Parametros!$B$6)),Parametros!$B$6&lt;=0),"Revisar fecha de corte",IF(H53&lt;Parametros!$B$6,"Vencida","En plazo"))))))</x:f>
      </x:c>
    </x:row>
    <x:row r="54" ht="62" customHeight="1">
      <x:c r="A54" s="12"/>
      <x:c r="B54" s="12"/>
      <x:c r="C54" s="12"/>
      <x:c r="D54" s="12"/>
      <x:c r="E54" s="12"/>
      <x:c r="F54" s="12"/>
      <x:c r="G54" s="12"/>
      <x:c r="H54" s="13"/>
      <x:c r="I54" s="12"/>
      <x:c r="J54" s="12"/>
      <x:c r="K54" s="12"/>
      <x:c r="L54" s="12"/>
      <x:c r="M54" s="12"/>
      <x:c r="N54" s="12"/>
      <x:c r="O54" s="13"/>
      <x:c r="P54" s="12"/>
      <x:c r="Q54" s="12"/>
      <x:c r="R54" s="15" t="str">
        <x:f>IF(A54="","",IF(I54&lt;&gt;"Cerrada","Abierta",IF(OR(J54="",L54="",M54="",N54&lt;&gt;"Conforme",O54="",NOT(ISNUMBER(O54)),O54&lt;=0,NOT(ISNUMBER(Parametros!$B$6)),Parametros!$B$6&lt;=0,O54&gt;Parametros!$B$6,AND(P54&lt;&gt;"Sí",P54&lt;&gt;"No"),AND(P54="Sí",Q54&lt;&gt;"Conforme")),"Cierre bloqueado","Cierre verificable")))</x:f>
      </x:c>
      <x:c r="S54" s="15" t="str">
        <x:f>IF(A54="","",IF(R54="Cierre verificable","Verificada",IF(ISBLANK(H54),"Sin fecha objetivo",IF(OR(NOT(ISNUMBER(H54)),H54&lt;=0),"Fecha objetivo inválida",IF(OR(Parametros!$B$6="",NOT(ISNUMBER(Parametros!$B$6)),Parametros!$B$6&lt;=0),"Revisar fecha de corte",IF(H54&lt;Parametros!$B$6,"Vencida","En plazo"))))))</x:f>
      </x:c>
    </x:row>
    <x:row r="55" ht="62" customHeight="1">
      <x:c r="A55" s="12"/>
      <x:c r="B55" s="12"/>
      <x:c r="C55" s="12"/>
      <x:c r="D55" s="12"/>
      <x:c r="E55" s="12"/>
      <x:c r="F55" s="12"/>
      <x:c r="G55" s="12"/>
      <x:c r="H55" s="13"/>
      <x:c r="I55" s="12"/>
      <x:c r="J55" s="12"/>
      <x:c r="K55" s="12"/>
      <x:c r="L55" s="12"/>
      <x:c r="M55" s="12"/>
      <x:c r="N55" s="12"/>
      <x:c r="O55" s="13"/>
      <x:c r="P55" s="12"/>
      <x:c r="Q55" s="12"/>
      <x:c r="R55" s="15" t="str">
        <x:f>IF(A55="","",IF(I55&lt;&gt;"Cerrada","Abierta",IF(OR(J55="",L55="",M55="",N55&lt;&gt;"Conforme",O55="",NOT(ISNUMBER(O55)),O55&lt;=0,NOT(ISNUMBER(Parametros!$B$6)),Parametros!$B$6&lt;=0,O55&gt;Parametros!$B$6,AND(P55&lt;&gt;"Sí",P55&lt;&gt;"No"),AND(P55="Sí",Q55&lt;&gt;"Conforme")),"Cierre bloqueado","Cierre verificable")))</x:f>
      </x:c>
      <x:c r="S55" s="15" t="str">
        <x:f>IF(A55="","",IF(R55="Cierre verificable","Verificada",IF(ISBLANK(H55),"Sin fecha objetivo",IF(OR(NOT(ISNUMBER(H55)),H55&lt;=0),"Fecha objetivo inválida",IF(OR(Parametros!$B$6="",NOT(ISNUMBER(Parametros!$B$6)),Parametros!$B$6&lt;=0),"Revisar fecha de corte",IF(H55&lt;Parametros!$B$6,"Vencida","En plazo"))))))</x:f>
      </x:c>
    </x:row>
    <x:row r="56" ht="62" customHeight="1">
      <x:c r="A56" s="12"/>
      <x:c r="B56" s="12"/>
      <x:c r="C56" s="12"/>
      <x:c r="D56" s="12"/>
      <x:c r="E56" s="12"/>
      <x:c r="F56" s="12"/>
      <x:c r="G56" s="12"/>
      <x:c r="H56" s="13"/>
      <x:c r="I56" s="12"/>
      <x:c r="J56" s="12"/>
      <x:c r="K56" s="12"/>
      <x:c r="L56" s="12"/>
      <x:c r="M56" s="12"/>
      <x:c r="N56" s="12"/>
      <x:c r="O56" s="13"/>
      <x:c r="P56" s="12"/>
      <x:c r="Q56" s="12"/>
      <x:c r="R56" s="15" t="str">
        <x:f>IF(A56="","",IF(I56&lt;&gt;"Cerrada","Abierta",IF(OR(J56="",L56="",M56="",N56&lt;&gt;"Conforme",O56="",NOT(ISNUMBER(O56)),O56&lt;=0,NOT(ISNUMBER(Parametros!$B$6)),Parametros!$B$6&lt;=0,O56&gt;Parametros!$B$6,AND(P56&lt;&gt;"Sí",P56&lt;&gt;"No"),AND(P56="Sí",Q56&lt;&gt;"Conforme")),"Cierre bloqueado","Cierre verificable")))</x:f>
      </x:c>
      <x:c r="S56" s="15" t="str">
        <x:f>IF(A56="","",IF(R56="Cierre verificable","Verificada",IF(ISBLANK(H56),"Sin fecha objetivo",IF(OR(NOT(ISNUMBER(H56)),H56&lt;=0),"Fecha objetivo inválida",IF(OR(Parametros!$B$6="",NOT(ISNUMBER(Parametros!$B$6)),Parametros!$B$6&lt;=0),"Revisar fecha de corte",IF(H56&lt;Parametros!$B$6,"Vencida","En plazo"))))))</x:f>
      </x:c>
    </x:row>
    <x:row r="57" ht="62" customHeight="1">
      <x:c r="A57" s="12"/>
      <x:c r="B57" s="12"/>
      <x:c r="C57" s="12"/>
      <x:c r="D57" s="12"/>
      <x:c r="E57" s="12"/>
      <x:c r="F57" s="12"/>
      <x:c r="G57" s="12"/>
      <x:c r="H57" s="13"/>
      <x:c r="I57" s="12"/>
      <x:c r="J57" s="12"/>
      <x:c r="K57" s="12"/>
      <x:c r="L57" s="12"/>
      <x:c r="M57" s="12"/>
      <x:c r="N57" s="12"/>
      <x:c r="O57" s="13"/>
      <x:c r="P57" s="12"/>
      <x:c r="Q57" s="12"/>
      <x:c r="R57" s="15" t="str">
        <x:f>IF(A57="","",IF(I57&lt;&gt;"Cerrada","Abierta",IF(OR(J57="",L57="",M57="",N57&lt;&gt;"Conforme",O57="",NOT(ISNUMBER(O57)),O57&lt;=0,NOT(ISNUMBER(Parametros!$B$6)),Parametros!$B$6&lt;=0,O57&gt;Parametros!$B$6,AND(P57&lt;&gt;"Sí",P57&lt;&gt;"No"),AND(P57="Sí",Q57&lt;&gt;"Conforme")),"Cierre bloqueado","Cierre verificable")))</x:f>
      </x:c>
      <x:c r="S57" s="15" t="str">
        <x:f>IF(A57="","",IF(R57="Cierre verificable","Verificada",IF(ISBLANK(H57),"Sin fecha objetivo",IF(OR(NOT(ISNUMBER(H57)),H57&lt;=0),"Fecha objetivo inválida",IF(OR(Parametros!$B$6="",NOT(ISNUMBER(Parametros!$B$6)),Parametros!$B$6&lt;=0),"Revisar fecha de corte",IF(H57&lt;Parametros!$B$6,"Vencida","En plazo"))))))</x:f>
      </x:c>
    </x:row>
    <x:row r="58" ht="62" customHeight="1">
      <x:c r="A58" s="12"/>
      <x:c r="B58" s="12"/>
      <x:c r="C58" s="12"/>
      <x:c r="D58" s="12"/>
      <x:c r="E58" s="12"/>
      <x:c r="F58" s="12"/>
      <x:c r="G58" s="12"/>
      <x:c r="H58" s="13"/>
      <x:c r="I58" s="12"/>
      <x:c r="J58" s="12"/>
      <x:c r="K58" s="12"/>
      <x:c r="L58" s="12"/>
      <x:c r="M58" s="12"/>
      <x:c r="N58" s="12"/>
      <x:c r="O58" s="13"/>
      <x:c r="P58" s="12"/>
      <x:c r="Q58" s="12"/>
      <x:c r="R58" s="15" t="str">
        <x:f>IF(A58="","",IF(I58&lt;&gt;"Cerrada","Abierta",IF(OR(J58="",L58="",M58="",N58&lt;&gt;"Conforme",O58="",NOT(ISNUMBER(O58)),O58&lt;=0,NOT(ISNUMBER(Parametros!$B$6)),Parametros!$B$6&lt;=0,O58&gt;Parametros!$B$6,AND(P58&lt;&gt;"Sí",P58&lt;&gt;"No"),AND(P58="Sí",Q58&lt;&gt;"Conforme")),"Cierre bloqueado","Cierre verificable")))</x:f>
      </x:c>
      <x:c r="S58" s="15" t="str">
        <x:f>IF(A58="","",IF(R58="Cierre verificable","Verificada",IF(ISBLANK(H58),"Sin fecha objetivo",IF(OR(NOT(ISNUMBER(H58)),H58&lt;=0),"Fecha objetivo inválida",IF(OR(Parametros!$B$6="",NOT(ISNUMBER(Parametros!$B$6)),Parametros!$B$6&lt;=0),"Revisar fecha de corte",IF(H58&lt;Parametros!$B$6,"Vencida","En plazo"))))))</x:f>
      </x:c>
    </x:row>
    <x:row r="59" ht="62" customHeight="1">
      <x:c r="A59" s="12"/>
      <x:c r="B59" s="12"/>
      <x:c r="C59" s="12"/>
      <x:c r="D59" s="12"/>
      <x:c r="E59" s="12"/>
      <x:c r="F59" s="12"/>
      <x:c r="G59" s="12"/>
      <x:c r="H59" s="13"/>
      <x:c r="I59" s="12"/>
      <x:c r="J59" s="12"/>
      <x:c r="K59" s="12"/>
      <x:c r="L59" s="12"/>
      <x:c r="M59" s="12"/>
      <x:c r="N59" s="12"/>
      <x:c r="O59" s="13"/>
      <x:c r="P59" s="12"/>
      <x:c r="Q59" s="12"/>
      <x:c r="R59" s="15" t="str">
        <x:f>IF(A59="","",IF(I59&lt;&gt;"Cerrada","Abierta",IF(OR(J59="",L59="",M59="",N59&lt;&gt;"Conforme",O59="",NOT(ISNUMBER(O59)),O59&lt;=0,NOT(ISNUMBER(Parametros!$B$6)),Parametros!$B$6&lt;=0,O59&gt;Parametros!$B$6,AND(P59&lt;&gt;"Sí",P59&lt;&gt;"No"),AND(P59="Sí",Q59&lt;&gt;"Conforme")),"Cierre bloqueado","Cierre verificable")))</x:f>
      </x:c>
      <x:c r="S59" s="15" t="str">
        <x:f>IF(A59="","",IF(R59="Cierre verificable","Verificada",IF(ISBLANK(H59),"Sin fecha objetivo",IF(OR(NOT(ISNUMBER(H59)),H59&lt;=0),"Fecha objetivo inválida",IF(OR(Parametros!$B$6="",NOT(ISNUMBER(Parametros!$B$6)),Parametros!$B$6&lt;=0),"Revisar fecha de corte",IF(H59&lt;Parametros!$B$6,"Vencida","En plazo"))))))</x:f>
      </x:c>
    </x:row>
    <x:row r="60" ht="62" customHeight="1">
      <x:c r="A60" s="12"/>
      <x:c r="B60" s="12"/>
      <x:c r="C60" s="12"/>
      <x:c r="D60" s="12"/>
      <x:c r="E60" s="12"/>
      <x:c r="F60" s="12"/>
      <x:c r="G60" s="12"/>
      <x:c r="H60" s="13"/>
      <x:c r="I60" s="12"/>
      <x:c r="J60" s="12"/>
      <x:c r="K60" s="12"/>
      <x:c r="L60" s="12"/>
      <x:c r="M60" s="12"/>
      <x:c r="N60" s="12"/>
      <x:c r="O60" s="13"/>
      <x:c r="P60" s="12"/>
      <x:c r="Q60" s="12"/>
      <x:c r="R60" s="15" t="str">
        <x:f>IF(A60="","",IF(I60&lt;&gt;"Cerrada","Abierta",IF(OR(J60="",L60="",M60="",N60&lt;&gt;"Conforme",O60="",NOT(ISNUMBER(O60)),O60&lt;=0,NOT(ISNUMBER(Parametros!$B$6)),Parametros!$B$6&lt;=0,O60&gt;Parametros!$B$6,AND(P60&lt;&gt;"Sí",P60&lt;&gt;"No"),AND(P60="Sí",Q60&lt;&gt;"Conforme")),"Cierre bloqueado","Cierre verificable")))</x:f>
      </x:c>
      <x:c r="S60" s="15" t="str">
        <x:f>IF(A60="","",IF(R60="Cierre verificable","Verificada",IF(ISBLANK(H60),"Sin fecha objetivo",IF(OR(NOT(ISNUMBER(H60)),H60&lt;=0),"Fecha objetivo inválida",IF(OR(Parametros!$B$6="",NOT(ISNUMBER(Parametros!$B$6)),Parametros!$B$6&lt;=0),"Revisar fecha de corte",IF(H60&lt;Parametros!$B$6,"Vencida","En plazo"))))))</x:f>
      </x:c>
    </x:row>
    <x:row r="61" ht="62" customHeight="1">
      <x:c r="A61" s="12"/>
      <x:c r="B61" s="12"/>
      <x:c r="C61" s="12"/>
      <x:c r="D61" s="12"/>
      <x:c r="E61" s="12"/>
      <x:c r="F61" s="12"/>
      <x:c r="G61" s="12"/>
      <x:c r="H61" s="13"/>
      <x:c r="I61" s="12"/>
      <x:c r="J61" s="12"/>
      <x:c r="K61" s="12"/>
      <x:c r="L61" s="12"/>
      <x:c r="M61" s="12"/>
      <x:c r="N61" s="12"/>
      <x:c r="O61" s="13"/>
      <x:c r="P61" s="12"/>
      <x:c r="Q61" s="12"/>
      <x:c r="R61" s="15" t="str">
        <x:f>IF(A61="","",IF(I61&lt;&gt;"Cerrada","Abierta",IF(OR(J61="",L61="",M61="",N61&lt;&gt;"Conforme",O61="",NOT(ISNUMBER(O61)),O61&lt;=0,NOT(ISNUMBER(Parametros!$B$6)),Parametros!$B$6&lt;=0,O61&gt;Parametros!$B$6,AND(P61&lt;&gt;"Sí",P61&lt;&gt;"No"),AND(P61="Sí",Q61&lt;&gt;"Conforme")),"Cierre bloqueado","Cierre verificable")))</x:f>
      </x:c>
      <x:c r="S61" s="15" t="str">
        <x:f>IF(A61="","",IF(R61="Cierre verificable","Verificada",IF(ISBLANK(H61),"Sin fecha objetivo",IF(OR(NOT(ISNUMBER(H61)),H61&lt;=0),"Fecha objetivo inválida",IF(OR(Parametros!$B$6="",NOT(ISNUMBER(Parametros!$B$6)),Parametros!$B$6&lt;=0),"Revisar fecha de corte",IF(H61&lt;Parametros!$B$6,"Vencida","En plazo"))))))</x:f>
      </x:c>
    </x:row>
    <x:row r="62" ht="62" customHeight="1">
      <x:c r="A62" s="12"/>
      <x:c r="B62" s="12"/>
      <x:c r="C62" s="12"/>
      <x:c r="D62" s="12"/>
      <x:c r="E62" s="12"/>
      <x:c r="F62" s="12"/>
      <x:c r="G62" s="12"/>
      <x:c r="H62" s="13"/>
      <x:c r="I62" s="12"/>
      <x:c r="J62" s="12"/>
      <x:c r="K62" s="12"/>
      <x:c r="L62" s="12"/>
      <x:c r="M62" s="12"/>
      <x:c r="N62" s="12"/>
      <x:c r="O62" s="13"/>
      <x:c r="P62" s="12"/>
      <x:c r="Q62" s="12"/>
      <x:c r="R62" s="15" t="str">
        <x:f>IF(A62="","",IF(I62&lt;&gt;"Cerrada","Abierta",IF(OR(J62="",L62="",M62="",N62&lt;&gt;"Conforme",O62="",NOT(ISNUMBER(O62)),O62&lt;=0,NOT(ISNUMBER(Parametros!$B$6)),Parametros!$B$6&lt;=0,O62&gt;Parametros!$B$6,AND(P62&lt;&gt;"Sí",P62&lt;&gt;"No"),AND(P62="Sí",Q62&lt;&gt;"Conforme")),"Cierre bloqueado","Cierre verificable")))</x:f>
      </x:c>
      <x:c r="S62" s="15" t="str">
        <x:f>IF(A62="","",IF(R62="Cierre verificable","Verificada",IF(ISBLANK(H62),"Sin fecha objetivo",IF(OR(NOT(ISNUMBER(H62)),H62&lt;=0),"Fecha objetivo inválida",IF(OR(Parametros!$B$6="",NOT(ISNUMBER(Parametros!$B$6)),Parametros!$B$6&lt;=0),"Revisar fecha de corte",IF(H62&lt;Parametros!$B$6,"Vencida","En plazo"))))))</x:f>
      </x:c>
    </x:row>
    <x:row r="63" ht="62" customHeight="1">
      <x:c r="A63" s="12"/>
      <x:c r="B63" s="12"/>
      <x:c r="C63" s="12"/>
      <x:c r="D63" s="12"/>
      <x:c r="E63" s="12"/>
      <x:c r="F63" s="12"/>
      <x:c r="G63" s="12"/>
      <x:c r="H63" s="13"/>
      <x:c r="I63" s="12"/>
      <x:c r="J63" s="12"/>
      <x:c r="K63" s="12"/>
      <x:c r="L63" s="12"/>
      <x:c r="M63" s="12"/>
      <x:c r="N63" s="12"/>
      <x:c r="O63" s="13"/>
      <x:c r="P63" s="12"/>
      <x:c r="Q63" s="12"/>
      <x:c r="R63" s="15" t="str">
        <x:f>IF(A63="","",IF(I63&lt;&gt;"Cerrada","Abierta",IF(OR(J63="",L63="",M63="",N63&lt;&gt;"Conforme",O63="",NOT(ISNUMBER(O63)),O63&lt;=0,NOT(ISNUMBER(Parametros!$B$6)),Parametros!$B$6&lt;=0,O63&gt;Parametros!$B$6,AND(P63&lt;&gt;"Sí",P63&lt;&gt;"No"),AND(P63="Sí",Q63&lt;&gt;"Conforme")),"Cierre bloqueado","Cierre verificable")))</x:f>
      </x:c>
      <x:c r="S63" s="15" t="str">
        <x:f>IF(A63="","",IF(R63="Cierre verificable","Verificada",IF(ISBLANK(H63),"Sin fecha objetivo",IF(OR(NOT(ISNUMBER(H63)),H63&lt;=0),"Fecha objetivo inválida",IF(OR(Parametros!$B$6="",NOT(ISNUMBER(Parametros!$B$6)),Parametros!$B$6&lt;=0),"Revisar fecha de corte",IF(H63&lt;Parametros!$B$6,"Vencida","En plazo"))))))</x:f>
      </x:c>
    </x:row>
    <x:row r="64" ht="62" customHeight="1">
      <x:c r="A64" s="12"/>
      <x:c r="B64" s="12"/>
      <x:c r="C64" s="12"/>
      <x:c r="D64" s="12"/>
      <x:c r="E64" s="12"/>
      <x:c r="F64" s="12"/>
      <x:c r="G64" s="12"/>
      <x:c r="H64" s="13"/>
      <x:c r="I64" s="12"/>
      <x:c r="J64" s="12"/>
      <x:c r="K64" s="12"/>
      <x:c r="L64" s="12"/>
      <x:c r="M64" s="12"/>
      <x:c r="N64" s="12"/>
      <x:c r="O64" s="13"/>
      <x:c r="P64" s="12"/>
      <x:c r="Q64" s="12"/>
      <x:c r="R64" s="15" t="str">
        <x:f>IF(A64="","",IF(I64&lt;&gt;"Cerrada","Abierta",IF(OR(J64="",L64="",M64="",N64&lt;&gt;"Conforme",O64="",NOT(ISNUMBER(O64)),O64&lt;=0,NOT(ISNUMBER(Parametros!$B$6)),Parametros!$B$6&lt;=0,O64&gt;Parametros!$B$6,AND(P64&lt;&gt;"Sí",P64&lt;&gt;"No"),AND(P64="Sí",Q64&lt;&gt;"Conforme")),"Cierre bloqueado","Cierre verificable")))</x:f>
      </x:c>
      <x:c r="S64" s="15" t="str">
        <x:f>IF(A64="","",IF(R64="Cierre verificable","Verificada",IF(ISBLANK(H64),"Sin fecha objetivo",IF(OR(NOT(ISNUMBER(H64)),H64&lt;=0),"Fecha objetivo inválida",IF(OR(Parametros!$B$6="",NOT(ISNUMBER(Parametros!$B$6)),Parametros!$B$6&lt;=0),"Revisar fecha de corte",IF(H64&lt;Parametros!$B$6,"Vencida","En plazo"))))))</x:f>
      </x:c>
    </x:row>
    <x:row r="65" ht="62" customHeight="1">
      <x:c r="A65" s="12"/>
      <x:c r="B65" s="12"/>
      <x:c r="C65" s="12"/>
      <x:c r="D65" s="12"/>
      <x:c r="E65" s="12"/>
      <x:c r="F65" s="12"/>
      <x:c r="G65" s="12"/>
      <x:c r="H65" s="13"/>
      <x:c r="I65" s="12"/>
      <x:c r="J65" s="12"/>
      <x:c r="K65" s="12"/>
      <x:c r="L65" s="12"/>
      <x:c r="M65" s="12"/>
      <x:c r="N65" s="12"/>
      <x:c r="O65" s="13"/>
      <x:c r="P65" s="12"/>
      <x:c r="Q65" s="12"/>
      <x:c r="R65" s="15" t="str">
        <x:f>IF(A65="","",IF(I65&lt;&gt;"Cerrada","Abierta",IF(OR(J65="",L65="",M65="",N65&lt;&gt;"Conforme",O65="",NOT(ISNUMBER(O65)),O65&lt;=0,NOT(ISNUMBER(Parametros!$B$6)),Parametros!$B$6&lt;=0,O65&gt;Parametros!$B$6,AND(P65&lt;&gt;"Sí",P65&lt;&gt;"No"),AND(P65="Sí",Q65&lt;&gt;"Conforme")),"Cierre bloqueado","Cierre verificable")))</x:f>
      </x:c>
      <x:c r="S65" s="15" t="str">
        <x:f>IF(A65="","",IF(R65="Cierre verificable","Verificada",IF(ISBLANK(H65),"Sin fecha objetivo",IF(OR(NOT(ISNUMBER(H65)),H65&lt;=0),"Fecha objetivo inválida",IF(OR(Parametros!$B$6="",NOT(ISNUMBER(Parametros!$B$6)),Parametros!$B$6&lt;=0),"Revisar fecha de corte",IF(H65&lt;Parametros!$B$6,"Vencida","En plazo"))))))</x:f>
      </x:c>
    </x:row>
    <x:row r="66" ht="62" customHeight="1">
      <x:c r="A66" s="12"/>
      <x:c r="B66" s="12"/>
      <x:c r="C66" s="12"/>
      <x:c r="D66" s="12"/>
      <x:c r="E66" s="12"/>
      <x:c r="F66" s="12"/>
      <x:c r="G66" s="12"/>
      <x:c r="H66" s="13"/>
      <x:c r="I66" s="12"/>
      <x:c r="J66" s="12"/>
      <x:c r="K66" s="12"/>
      <x:c r="L66" s="12"/>
      <x:c r="M66" s="12"/>
      <x:c r="N66" s="12"/>
      <x:c r="O66" s="13"/>
      <x:c r="P66" s="12"/>
      <x:c r="Q66" s="12"/>
      <x:c r="R66" s="15" t="str">
        <x:f>IF(A66="","",IF(I66&lt;&gt;"Cerrada","Abierta",IF(OR(J66="",L66="",M66="",N66&lt;&gt;"Conforme",O66="",NOT(ISNUMBER(O66)),O66&lt;=0,NOT(ISNUMBER(Parametros!$B$6)),Parametros!$B$6&lt;=0,O66&gt;Parametros!$B$6,AND(P66&lt;&gt;"Sí",P66&lt;&gt;"No"),AND(P66="Sí",Q66&lt;&gt;"Conforme")),"Cierre bloqueado","Cierre verificable")))</x:f>
      </x:c>
      <x:c r="S66" s="15" t="str">
        <x:f>IF(A66="","",IF(R66="Cierre verificable","Verificada",IF(ISBLANK(H66),"Sin fecha objetivo",IF(OR(NOT(ISNUMBER(H66)),H66&lt;=0),"Fecha objetivo inválida",IF(OR(Parametros!$B$6="",NOT(ISNUMBER(Parametros!$B$6)),Parametros!$B$6&lt;=0),"Revisar fecha de corte",IF(H66&lt;Parametros!$B$6,"Vencida","En plazo"))))))</x:f>
      </x:c>
    </x:row>
    <x:row r="67" ht="62" customHeight="1">
      <x:c r="A67" s="12"/>
      <x:c r="B67" s="12"/>
      <x:c r="C67" s="12"/>
      <x:c r="D67" s="12"/>
      <x:c r="E67" s="12"/>
      <x:c r="F67" s="12"/>
      <x:c r="G67" s="12"/>
      <x:c r="H67" s="13"/>
      <x:c r="I67" s="12"/>
      <x:c r="J67" s="12"/>
      <x:c r="K67" s="12"/>
      <x:c r="L67" s="12"/>
      <x:c r="M67" s="12"/>
      <x:c r="N67" s="12"/>
      <x:c r="O67" s="13"/>
      <x:c r="P67" s="12"/>
      <x:c r="Q67" s="12"/>
      <x:c r="R67" s="15" t="str">
        <x:f>IF(A67="","",IF(I67&lt;&gt;"Cerrada","Abierta",IF(OR(J67="",L67="",M67="",N67&lt;&gt;"Conforme",O67="",NOT(ISNUMBER(O67)),O67&lt;=0,NOT(ISNUMBER(Parametros!$B$6)),Parametros!$B$6&lt;=0,O67&gt;Parametros!$B$6,AND(P67&lt;&gt;"Sí",P67&lt;&gt;"No"),AND(P67="Sí",Q67&lt;&gt;"Conforme")),"Cierre bloqueado","Cierre verificable")))</x:f>
      </x:c>
      <x:c r="S67" s="15" t="str">
        <x:f>IF(A67="","",IF(R67="Cierre verificable","Verificada",IF(ISBLANK(H67),"Sin fecha objetivo",IF(OR(NOT(ISNUMBER(H67)),H67&lt;=0),"Fecha objetivo inválida",IF(OR(Parametros!$B$6="",NOT(ISNUMBER(Parametros!$B$6)),Parametros!$B$6&lt;=0),"Revisar fecha de corte",IF(H67&lt;Parametros!$B$6,"Vencida","En plazo"))))))</x:f>
      </x:c>
    </x:row>
    <x:row r="68" ht="62" customHeight="1">
      <x:c r="A68" s="12"/>
      <x:c r="B68" s="12"/>
      <x:c r="C68" s="12"/>
      <x:c r="D68" s="12"/>
      <x:c r="E68" s="12"/>
      <x:c r="F68" s="12"/>
      <x:c r="G68" s="12"/>
      <x:c r="H68" s="13"/>
      <x:c r="I68" s="12"/>
      <x:c r="J68" s="12"/>
      <x:c r="K68" s="12"/>
      <x:c r="L68" s="12"/>
      <x:c r="M68" s="12"/>
      <x:c r="N68" s="12"/>
      <x:c r="O68" s="13"/>
      <x:c r="P68" s="12"/>
      <x:c r="Q68" s="12"/>
      <x:c r="R68" s="15" t="str">
        <x:f>IF(A68="","",IF(I68&lt;&gt;"Cerrada","Abierta",IF(OR(J68="",L68="",M68="",N68&lt;&gt;"Conforme",O68="",NOT(ISNUMBER(O68)),O68&lt;=0,NOT(ISNUMBER(Parametros!$B$6)),Parametros!$B$6&lt;=0,O68&gt;Parametros!$B$6,AND(P68&lt;&gt;"Sí",P68&lt;&gt;"No"),AND(P68="Sí",Q68&lt;&gt;"Conforme")),"Cierre bloqueado","Cierre verificable")))</x:f>
      </x:c>
      <x:c r="S68" s="15" t="str">
        <x:f>IF(A68="","",IF(R68="Cierre verificable","Verificada",IF(ISBLANK(H68),"Sin fecha objetivo",IF(OR(NOT(ISNUMBER(H68)),H68&lt;=0),"Fecha objetivo inválida",IF(OR(Parametros!$B$6="",NOT(ISNUMBER(Parametros!$B$6)),Parametros!$B$6&lt;=0),"Revisar fecha de corte",IF(H68&lt;Parametros!$B$6,"Vencida","En plazo"))))))</x:f>
      </x:c>
    </x:row>
    <x:row r="69" ht="62" customHeight="1">
      <x:c r="A69" s="12"/>
      <x:c r="B69" s="12"/>
      <x:c r="C69" s="12"/>
      <x:c r="D69" s="12"/>
      <x:c r="E69" s="12"/>
      <x:c r="F69" s="12"/>
      <x:c r="G69" s="12"/>
      <x:c r="H69" s="13"/>
      <x:c r="I69" s="12"/>
      <x:c r="J69" s="12"/>
      <x:c r="K69" s="12"/>
      <x:c r="L69" s="12"/>
      <x:c r="M69" s="12"/>
      <x:c r="N69" s="12"/>
      <x:c r="O69" s="13"/>
      <x:c r="P69" s="12"/>
      <x:c r="Q69" s="12"/>
      <x:c r="R69" s="15" t="str">
        <x:f>IF(A69="","",IF(I69&lt;&gt;"Cerrada","Abierta",IF(OR(J69="",L69="",M69="",N69&lt;&gt;"Conforme",O69="",NOT(ISNUMBER(O69)),O69&lt;=0,NOT(ISNUMBER(Parametros!$B$6)),Parametros!$B$6&lt;=0,O69&gt;Parametros!$B$6,AND(P69&lt;&gt;"Sí",P69&lt;&gt;"No"),AND(P69="Sí",Q69&lt;&gt;"Conforme")),"Cierre bloqueado","Cierre verificable")))</x:f>
      </x:c>
      <x:c r="S69" s="15" t="str">
        <x:f>IF(A69="","",IF(R69="Cierre verificable","Verificada",IF(ISBLANK(H69),"Sin fecha objetivo",IF(OR(NOT(ISNUMBER(H69)),H69&lt;=0),"Fecha objetivo inválida",IF(OR(Parametros!$B$6="",NOT(ISNUMBER(Parametros!$B$6)),Parametros!$B$6&lt;=0),"Revisar fecha de corte",IF(H69&lt;Parametros!$B$6,"Vencida","En plazo"))))))</x:f>
      </x:c>
    </x:row>
    <x:row r="70" ht="62" customHeight="1">
      <x:c r="A70" s="12"/>
      <x:c r="B70" s="12"/>
      <x:c r="C70" s="12"/>
      <x:c r="D70" s="12"/>
      <x:c r="E70" s="12"/>
      <x:c r="F70" s="12"/>
      <x:c r="G70" s="12"/>
      <x:c r="H70" s="13"/>
      <x:c r="I70" s="12"/>
      <x:c r="J70" s="12"/>
      <x:c r="K70" s="12"/>
      <x:c r="L70" s="12"/>
      <x:c r="M70" s="12"/>
      <x:c r="N70" s="12"/>
      <x:c r="O70" s="13"/>
      <x:c r="P70" s="12"/>
      <x:c r="Q70" s="12"/>
      <x:c r="R70" s="15" t="str">
        <x:f>IF(A70="","",IF(I70&lt;&gt;"Cerrada","Abierta",IF(OR(J70="",L70="",M70="",N70&lt;&gt;"Conforme",O70="",NOT(ISNUMBER(O70)),O70&lt;=0,NOT(ISNUMBER(Parametros!$B$6)),Parametros!$B$6&lt;=0,O70&gt;Parametros!$B$6,AND(P70&lt;&gt;"Sí",P70&lt;&gt;"No"),AND(P70="Sí",Q70&lt;&gt;"Conforme")),"Cierre bloqueado","Cierre verificable")))</x:f>
      </x:c>
      <x:c r="S70" s="15" t="str">
        <x:f>IF(A70="","",IF(R70="Cierre verificable","Verificada",IF(ISBLANK(H70),"Sin fecha objetivo",IF(OR(NOT(ISNUMBER(H70)),H70&lt;=0),"Fecha objetivo inválida",IF(OR(Parametros!$B$6="",NOT(ISNUMBER(Parametros!$B$6)),Parametros!$B$6&lt;=0),"Revisar fecha de corte",IF(H70&lt;Parametros!$B$6,"Vencida","En plazo"))))))</x:f>
      </x:c>
    </x:row>
    <x:row r="71" ht="62" customHeight="1">
      <x:c r="A71" s="12"/>
      <x:c r="B71" s="12"/>
      <x:c r="C71" s="12"/>
      <x:c r="D71" s="12"/>
      <x:c r="E71" s="12"/>
      <x:c r="F71" s="12"/>
      <x:c r="G71" s="12"/>
      <x:c r="H71" s="13"/>
      <x:c r="I71" s="12"/>
      <x:c r="J71" s="12"/>
      <x:c r="K71" s="12"/>
      <x:c r="L71" s="12"/>
      <x:c r="M71" s="12"/>
      <x:c r="N71" s="12"/>
      <x:c r="O71" s="13"/>
      <x:c r="P71" s="12"/>
      <x:c r="Q71" s="12"/>
      <x:c r="R71" s="15" t="str">
        <x:f>IF(A71="","",IF(I71&lt;&gt;"Cerrada","Abierta",IF(OR(J71="",L71="",M71="",N71&lt;&gt;"Conforme",O71="",NOT(ISNUMBER(O71)),O71&lt;=0,NOT(ISNUMBER(Parametros!$B$6)),Parametros!$B$6&lt;=0,O71&gt;Parametros!$B$6,AND(P71&lt;&gt;"Sí",P71&lt;&gt;"No"),AND(P71="Sí",Q71&lt;&gt;"Conforme")),"Cierre bloqueado","Cierre verificable")))</x:f>
      </x:c>
      <x:c r="S71" s="15" t="str">
        <x:f>IF(A71="","",IF(R71="Cierre verificable","Verificada",IF(ISBLANK(H71),"Sin fecha objetivo",IF(OR(NOT(ISNUMBER(H71)),H71&lt;=0),"Fecha objetivo inválida",IF(OR(Parametros!$B$6="",NOT(ISNUMBER(Parametros!$B$6)),Parametros!$B$6&lt;=0),"Revisar fecha de corte",IF(H71&lt;Parametros!$B$6,"Vencida","En plazo"))))))</x:f>
      </x:c>
    </x:row>
    <x:row r="72" ht="62" customHeight="1">
      <x:c r="A72" s="12"/>
      <x:c r="B72" s="12"/>
      <x:c r="C72" s="12"/>
      <x:c r="D72" s="12"/>
      <x:c r="E72" s="12"/>
      <x:c r="F72" s="12"/>
      <x:c r="G72" s="12"/>
      <x:c r="H72" s="13"/>
      <x:c r="I72" s="12"/>
      <x:c r="J72" s="12"/>
      <x:c r="K72" s="12"/>
      <x:c r="L72" s="12"/>
      <x:c r="M72" s="12"/>
      <x:c r="N72" s="12"/>
      <x:c r="O72" s="13"/>
      <x:c r="P72" s="12"/>
      <x:c r="Q72" s="12"/>
      <x:c r="R72" s="15" t="str">
        <x:f>IF(A72="","",IF(I72&lt;&gt;"Cerrada","Abierta",IF(OR(J72="",L72="",M72="",N72&lt;&gt;"Conforme",O72="",NOT(ISNUMBER(O72)),O72&lt;=0,NOT(ISNUMBER(Parametros!$B$6)),Parametros!$B$6&lt;=0,O72&gt;Parametros!$B$6,AND(P72&lt;&gt;"Sí",P72&lt;&gt;"No"),AND(P72="Sí",Q72&lt;&gt;"Conforme")),"Cierre bloqueado","Cierre verificable")))</x:f>
      </x:c>
      <x:c r="S72" s="15" t="str">
        <x:f>IF(A72="","",IF(R72="Cierre verificable","Verificada",IF(ISBLANK(H72),"Sin fecha objetivo",IF(OR(NOT(ISNUMBER(H72)),H72&lt;=0),"Fecha objetivo inválida",IF(OR(Parametros!$B$6="",NOT(ISNUMBER(Parametros!$B$6)),Parametros!$B$6&lt;=0),"Revisar fecha de corte",IF(H72&lt;Parametros!$B$6,"Vencida","En plazo"))))))</x:f>
      </x:c>
    </x:row>
    <x:row r="73" ht="62" customHeight="1">
      <x:c r="A73" s="12"/>
      <x:c r="B73" s="12"/>
      <x:c r="C73" s="12"/>
      <x:c r="D73" s="12"/>
      <x:c r="E73" s="12"/>
      <x:c r="F73" s="12"/>
      <x:c r="G73" s="12"/>
      <x:c r="H73" s="13"/>
      <x:c r="I73" s="12"/>
      <x:c r="J73" s="12"/>
      <x:c r="K73" s="12"/>
      <x:c r="L73" s="12"/>
      <x:c r="M73" s="12"/>
      <x:c r="N73" s="12"/>
      <x:c r="O73" s="13"/>
      <x:c r="P73" s="12"/>
      <x:c r="Q73" s="12"/>
      <x:c r="R73" s="15" t="str">
        <x:f>IF(A73="","",IF(I73&lt;&gt;"Cerrada","Abierta",IF(OR(J73="",L73="",M73="",N73&lt;&gt;"Conforme",O73="",NOT(ISNUMBER(O73)),O73&lt;=0,NOT(ISNUMBER(Parametros!$B$6)),Parametros!$B$6&lt;=0,O73&gt;Parametros!$B$6,AND(P73&lt;&gt;"Sí",P73&lt;&gt;"No"),AND(P73="Sí",Q73&lt;&gt;"Conforme")),"Cierre bloqueado","Cierre verificable")))</x:f>
      </x:c>
      <x:c r="S73" s="15" t="str">
        <x:f>IF(A73="","",IF(R73="Cierre verificable","Verificada",IF(ISBLANK(H73),"Sin fecha objetivo",IF(OR(NOT(ISNUMBER(H73)),H73&lt;=0),"Fecha objetivo inválida",IF(OR(Parametros!$B$6="",NOT(ISNUMBER(Parametros!$B$6)),Parametros!$B$6&lt;=0),"Revisar fecha de corte",IF(H73&lt;Parametros!$B$6,"Vencida","En plazo"))))))</x:f>
      </x:c>
    </x:row>
    <x:row r="74" ht="62" customHeight="1">
      <x:c r="A74" s="12"/>
      <x:c r="B74" s="12"/>
      <x:c r="C74" s="12"/>
      <x:c r="D74" s="12"/>
      <x:c r="E74" s="12"/>
      <x:c r="F74" s="12"/>
      <x:c r="G74" s="12"/>
      <x:c r="H74" s="13"/>
      <x:c r="I74" s="12"/>
      <x:c r="J74" s="12"/>
      <x:c r="K74" s="12"/>
      <x:c r="L74" s="12"/>
      <x:c r="M74" s="12"/>
      <x:c r="N74" s="12"/>
      <x:c r="O74" s="13"/>
      <x:c r="P74" s="12"/>
      <x:c r="Q74" s="12"/>
      <x:c r="R74" s="15" t="str">
        <x:f>IF(A74="","",IF(I74&lt;&gt;"Cerrada","Abierta",IF(OR(J74="",L74="",M74="",N74&lt;&gt;"Conforme",O74="",NOT(ISNUMBER(O74)),O74&lt;=0,NOT(ISNUMBER(Parametros!$B$6)),Parametros!$B$6&lt;=0,O74&gt;Parametros!$B$6,AND(P74&lt;&gt;"Sí",P74&lt;&gt;"No"),AND(P74="Sí",Q74&lt;&gt;"Conforme")),"Cierre bloqueado","Cierre verificable")))</x:f>
      </x:c>
      <x:c r="S74" s="15" t="str">
        <x:f>IF(A74="","",IF(R74="Cierre verificable","Verificada",IF(ISBLANK(H74),"Sin fecha objetivo",IF(OR(NOT(ISNUMBER(H74)),H74&lt;=0),"Fecha objetivo inválida",IF(OR(Parametros!$B$6="",NOT(ISNUMBER(Parametros!$B$6)),Parametros!$B$6&lt;=0),"Revisar fecha de corte",IF(H74&lt;Parametros!$B$6,"Vencida","En plazo"))))))</x:f>
      </x:c>
    </x:row>
    <x:row r="75" ht="62" customHeight="1">
      <x:c r="A75" s="12"/>
      <x:c r="B75" s="12"/>
      <x:c r="C75" s="12"/>
      <x:c r="D75" s="12"/>
      <x:c r="E75" s="12"/>
      <x:c r="F75" s="12"/>
      <x:c r="G75" s="12"/>
      <x:c r="H75" s="13"/>
      <x:c r="I75" s="12"/>
      <x:c r="J75" s="12"/>
      <x:c r="K75" s="12"/>
      <x:c r="L75" s="12"/>
      <x:c r="M75" s="12"/>
      <x:c r="N75" s="12"/>
      <x:c r="O75" s="13"/>
      <x:c r="P75" s="12"/>
      <x:c r="Q75" s="12"/>
      <x:c r="R75" s="15" t="str">
        <x:f>IF(A75="","",IF(I75&lt;&gt;"Cerrada","Abierta",IF(OR(J75="",L75="",M75="",N75&lt;&gt;"Conforme",O75="",NOT(ISNUMBER(O75)),O75&lt;=0,NOT(ISNUMBER(Parametros!$B$6)),Parametros!$B$6&lt;=0,O75&gt;Parametros!$B$6,AND(P75&lt;&gt;"Sí",P75&lt;&gt;"No"),AND(P75="Sí",Q75&lt;&gt;"Conforme")),"Cierre bloqueado","Cierre verificable")))</x:f>
      </x:c>
      <x:c r="S75" s="15" t="str">
        <x:f>IF(A75="","",IF(R75="Cierre verificable","Verificada",IF(ISBLANK(H75),"Sin fecha objetivo",IF(OR(NOT(ISNUMBER(H75)),H75&lt;=0),"Fecha objetivo inválida",IF(OR(Parametros!$B$6="",NOT(ISNUMBER(Parametros!$B$6)),Parametros!$B$6&lt;=0),"Revisar fecha de corte",IF(H75&lt;Parametros!$B$6,"Vencida","En plazo"))))))</x:f>
      </x:c>
    </x:row>
    <x:row r="76" ht="62" customHeight="1">
      <x:c r="A76" s="12"/>
      <x:c r="B76" s="12"/>
      <x:c r="C76" s="12"/>
      <x:c r="D76" s="12"/>
      <x:c r="E76" s="12"/>
      <x:c r="F76" s="12"/>
      <x:c r="G76" s="12"/>
      <x:c r="H76" s="13"/>
      <x:c r="I76" s="12"/>
      <x:c r="J76" s="12"/>
      <x:c r="K76" s="12"/>
      <x:c r="L76" s="12"/>
      <x:c r="M76" s="12"/>
      <x:c r="N76" s="12"/>
      <x:c r="O76" s="13"/>
      <x:c r="P76" s="12"/>
      <x:c r="Q76" s="12"/>
      <x:c r="R76" s="15" t="str">
        <x:f>IF(A76="","",IF(I76&lt;&gt;"Cerrada","Abierta",IF(OR(J76="",L76="",M76="",N76&lt;&gt;"Conforme",O76="",NOT(ISNUMBER(O76)),O76&lt;=0,NOT(ISNUMBER(Parametros!$B$6)),Parametros!$B$6&lt;=0,O76&gt;Parametros!$B$6,AND(P76&lt;&gt;"Sí",P76&lt;&gt;"No"),AND(P76="Sí",Q76&lt;&gt;"Conforme")),"Cierre bloqueado","Cierre verificable")))</x:f>
      </x:c>
      <x:c r="S76" s="15" t="str">
        <x:f>IF(A76="","",IF(R76="Cierre verificable","Verificada",IF(ISBLANK(H76),"Sin fecha objetivo",IF(OR(NOT(ISNUMBER(H76)),H76&lt;=0),"Fecha objetivo inválida",IF(OR(Parametros!$B$6="",NOT(ISNUMBER(Parametros!$B$6)),Parametros!$B$6&lt;=0),"Revisar fecha de corte",IF(H76&lt;Parametros!$B$6,"Vencida","En plazo"))))))</x:f>
      </x:c>
    </x:row>
    <x:row r="77" ht="62" customHeight="1">
      <x:c r="A77" s="12"/>
      <x:c r="B77" s="12"/>
      <x:c r="C77" s="12"/>
      <x:c r="D77" s="12"/>
      <x:c r="E77" s="12"/>
      <x:c r="F77" s="12"/>
      <x:c r="G77" s="12"/>
      <x:c r="H77" s="13"/>
      <x:c r="I77" s="12"/>
      <x:c r="J77" s="12"/>
      <x:c r="K77" s="12"/>
      <x:c r="L77" s="12"/>
      <x:c r="M77" s="12"/>
      <x:c r="N77" s="12"/>
      <x:c r="O77" s="13"/>
      <x:c r="P77" s="12"/>
      <x:c r="Q77" s="12"/>
      <x:c r="R77" s="15" t="str">
        <x:f>IF(A77="","",IF(I77&lt;&gt;"Cerrada","Abierta",IF(OR(J77="",L77="",M77="",N77&lt;&gt;"Conforme",O77="",NOT(ISNUMBER(O77)),O77&lt;=0,NOT(ISNUMBER(Parametros!$B$6)),Parametros!$B$6&lt;=0,O77&gt;Parametros!$B$6,AND(P77&lt;&gt;"Sí",P77&lt;&gt;"No"),AND(P77="Sí",Q77&lt;&gt;"Conforme")),"Cierre bloqueado","Cierre verificable")))</x:f>
      </x:c>
      <x:c r="S77" s="15" t="str">
        <x:f>IF(A77="","",IF(R77="Cierre verificable","Verificada",IF(ISBLANK(H77),"Sin fecha objetivo",IF(OR(NOT(ISNUMBER(H77)),H77&lt;=0),"Fecha objetivo inválida",IF(OR(Parametros!$B$6="",NOT(ISNUMBER(Parametros!$B$6)),Parametros!$B$6&lt;=0),"Revisar fecha de corte",IF(H77&lt;Parametros!$B$6,"Vencida","En plazo"))))))</x:f>
      </x:c>
    </x:row>
    <x:row r="78" ht="62" customHeight="1">
      <x:c r="A78" s="12"/>
      <x:c r="B78" s="12"/>
      <x:c r="C78" s="12"/>
      <x:c r="D78" s="12"/>
      <x:c r="E78" s="12"/>
      <x:c r="F78" s="12"/>
      <x:c r="G78" s="12"/>
      <x:c r="H78" s="13"/>
      <x:c r="I78" s="12"/>
      <x:c r="J78" s="12"/>
      <x:c r="K78" s="12"/>
      <x:c r="L78" s="12"/>
      <x:c r="M78" s="12"/>
      <x:c r="N78" s="12"/>
      <x:c r="O78" s="13"/>
      <x:c r="P78" s="12"/>
      <x:c r="Q78" s="12"/>
      <x:c r="R78" s="15" t="str">
        <x:f>IF(A78="","",IF(I78&lt;&gt;"Cerrada","Abierta",IF(OR(J78="",L78="",M78="",N78&lt;&gt;"Conforme",O78="",NOT(ISNUMBER(O78)),O78&lt;=0,NOT(ISNUMBER(Parametros!$B$6)),Parametros!$B$6&lt;=0,O78&gt;Parametros!$B$6,AND(P78&lt;&gt;"Sí",P78&lt;&gt;"No"),AND(P78="Sí",Q78&lt;&gt;"Conforme")),"Cierre bloqueado","Cierre verificable")))</x:f>
      </x:c>
      <x:c r="S78" s="15" t="str">
        <x:f>IF(A78="","",IF(R78="Cierre verificable","Verificada",IF(ISBLANK(H78),"Sin fecha objetivo",IF(OR(NOT(ISNUMBER(H78)),H78&lt;=0),"Fecha objetivo inválida",IF(OR(Parametros!$B$6="",NOT(ISNUMBER(Parametros!$B$6)),Parametros!$B$6&lt;=0),"Revisar fecha de corte",IF(H78&lt;Parametros!$B$6,"Vencida","En plazo"))))))</x:f>
      </x:c>
    </x:row>
    <x:row r="79" ht="62" customHeight="1">
      <x:c r="A79" s="12"/>
      <x:c r="B79" s="12"/>
      <x:c r="C79" s="12"/>
      <x:c r="D79" s="12"/>
      <x:c r="E79" s="12"/>
      <x:c r="F79" s="12"/>
      <x:c r="G79" s="12"/>
      <x:c r="H79" s="13"/>
      <x:c r="I79" s="12"/>
      <x:c r="J79" s="12"/>
      <x:c r="K79" s="12"/>
      <x:c r="L79" s="12"/>
      <x:c r="M79" s="12"/>
      <x:c r="N79" s="12"/>
      <x:c r="O79" s="13"/>
      <x:c r="P79" s="12"/>
      <x:c r="Q79" s="12"/>
      <x:c r="R79" s="15" t="str">
        <x:f>IF(A79="","",IF(I79&lt;&gt;"Cerrada","Abierta",IF(OR(J79="",L79="",M79="",N79&lt;&gt;"Conforme",O79="",NOT(ISNUMBER(O79)),O79&lt;=0,NOT(ISNUMBER(Parametros!$B$6)),Parametros!$B$6&lt;=0,O79&gt;Parametros!$B$6,AND(P79&lt;&gt;"Sí",P79&lt;&gt;"No"),AND(P79="Sí",Q79&lt;&gt;"Conforme")),"Cierre bloqueado","Cierre verificable")))</x:f>
      </x:c>
      <x:c r="S79" s="15" t="str">
        <x:f>IF(A79="","",IF(R79="Cierre verificable","Verificada",IF(ISBLANK(H79),"Sin fecha objetivo",IF(OR(NOT(ISNUMBER(H79)),H79&lt;=0),"Fecha objetivo inválida",IF(OR(Parametros!$B$6="",NOT(ISNUMBER(Parametros!$B$6)),Parametros!$B$6&lt;=0),"Revisar fecha de corte",IF(H79&lt;Parametros!$B$6,"Vencida","En plazo"))))))</x:f>
      </x:c>
    </x:row>
    <x:row r="80" ht="62" customHeight="1">
      <x:c r="A80" s="12"/>
      <x:c r="B80" s="12"/>
      <x:c r="C80" s="12"/>
      <x:c r="D80" s="12"/>
      <x:c r="E80" s="12"/>
      <x:c r="F80" s="12"/>
      <x:c r="G80" s="12"/>
      <x:c r="H80" s="13"/>
      <x:c r="I80" s="12"/>
      <x:c r="J80" s="12"/>
      <x:c r="K80" s="12"/>
      <x:c r="L80" s="12"/>
      <x:c r="M80" s="12"/>
      <x:c r="N80" s="12"/>
      <x:c r="O80" s="13"/>
      <x:c r="P80" s="12"/>
      <x:c r="Q80" s="12"/>
      <x:c r="R80" s="15" t="str">
        <x:f>IF(A80="","",IF(I80&lt;&gt;"Cerrada","Abierta",IF(OR(J80="",L80="",M80="",N80&lt;&gt;"Conforme",O80="",NOT(ISNUMBER(O80)),O80&lt;=0,NOT(ISNUMBER(Parametros!$B$6)),Parametros!$B$6&lt;=0,O80&gt;Parametros!$B$6,AND(P80&lt;&gt;"Sí",P80&lt;&gt;"No"),AND(P80="Sí",Q80&lt;&gt;"Conforme")),"Cierre bloqueado","Cierre verificable")))</x:f>
      </x:c>
      <x:c r="S80" s="15" t="str">
        <x:f>IF(A80="","",IF(R80="Cierre verificable","Verificada",IF(ISBLANK(H80),"Sin fecha objetivo",IF(OR(NOT(ISNUMBER(H80)),H80&lt;=0),"Fecha objetivo inválida",IF(OR(Parametros!$B$6="",NOT(ISNUMBER(Parametros!$B$6)),Parametros!$B$6&lt;=0),"Revisar fecha de corte",IF(H80&lt;Parametros!$B$6,"Vencida","En plazo"))))))</x:f>
      </x:c>
    </x:row>
    <x:row r="81" ht="62" customHeight="1">
      <x:c r="A81" s="12"/>
      <x:c r="B81" s="12"/>
      <x:c r="C81" s="12"/>
      <x:c r="D81" s="12"/>
      <x:c r="E81" s="12"/>
      <x:c r="F81" s="12"/>
      <x:c r="G81" s="12"/>
      <x:c r="H81" s="13"/>
      <x:c r="I81" s="12"/>
      <x:c r="J81" s="12"/>
      <x:c r="K81" s="12"/>
      <x:c r="L81" s="12"/>
      <x:c r="M81" s="12"/>
      <x:c r="N81" s="12"/>
      <x:c r="O81" s="13"/>
      <x:c r="P81" s="12"/>
      <x:c r="Q81" s="12"/>
      <x:c r="R81" s="15" t="str">
        <x:f>IF(A81="","",IF(I81&lt;&gt;"Cerrada","Abierta",IF(OR(J81="",L81="",M81="",N81&lt;&gt;"Conforme",O81="",NOT(ISNUMBER(O81)),O81&lt;=0,NOT(ISNUMBER(Parametros!$B$6)),Parametros!$B$6&lt;=0,O81&gt;Parametros!$B$6,AND(P81&lt;&gt;"Sí",P81&lt;&gt;"No"),AND(P81="Sí",Q81&lt;&gt;"Conforme")),"Cierre bloqueado","Cierre verificable")))</x:f>
      </x:c>
      <x:c r="S81" s="15" t="str">
        <x:f>IF(A81="","",IF(R81="Cierre verificable","Verificada",IF(ISBLANK(H81),"Sin fecha objetivo",IF(OR(NOT(ISNUMBER(H81)),H81&lt;=0),"Fecha objetivo inválida",IF(OR(Parametros!$B$6="",NOT(ISNUMBER(Parametros!$B$6)),Parametros!$B$6&lt;=0),"Revisar fecha de corte",IF(H81&lt;Parametros!$B$6,"Vencida","En plazo"))))))</x:f>
      </x:c>
    </x:row>
    <x:row r="82" ht="62" customHeight="1">
      <x:c r="A82" s="12"/>
      <x:c r="B82" s="12"/>
      <x:c r="C82" s="12"/>
      <x:c r="D82" s="12"/>
      <x:c r="E82" s="12"/>
      <x:c r="F82" s="12"/>
      <x:c r="G82" s="12"/>
      <x:c r="H82" s="13"/>
      <x:c r="I82" s="12"/>
      <x:c r="J82" s="12"/>
      <x:c r="K82" s="12"/>
      <x:c r="L82" s="12"/>
      <x:c r="M82" s="12"/>
      <x:c r="N82" s="12"/>
      <x:c r="O82" s="13"/>
      <x:c r="P82" s="12"/>
      <x:c r="Q82" s="12"/>
      <x:c r="R82" s="15" t="str">
        <x:f>IF(A82="","",IF(I82&lt;&gt;"Cerrada","Abierta",IF(OR(J82="",L82="",M82="",N82&lt;&gt;"Conforme",O82="",NOT(ISNUMBER(O82)),O82&lt;=0,NOT(ISNUMBER(Parametros!$B$6)),Parametros!$B$6&lt;=0,O82&gt;Parametros!$B$6,AND(P82&lt;&gt;"Sí",P82&lt;&gt;"No"),AND(P82="Sí",Q82&lt;&gt;"Conforme")),"Cierre bloqueado","Cierre verificable")))</x:f>
      </x:c>
      <x:c r="S82" s="15" t="str">
        <x:f>IF(A82="","",IF(R82="Cierre verificable","Verificada",IF(ISBLANK(H82),"Sin fecha objetivo",IF(OR(NOT(ISNUMBER(H82)),H82&lt;=0),"Fecha objetivo inválida",IF(OR(Parametros!$B$6="",NOT(ISNUMBER(Parametros!$B$6)),Parametros!$B$6&lt;=0),"Revisar fecha de corte",IF(H82&lt;Parametros!$B$6,"Vencida","En plazo"))))))</x:f>
      </x:c>
    </x:row>
    <x:row r="83" ht="62" customHeight="1">
      <x:c r="A83" s="12"/>
      <x:c r="B83" s="12"/>
      <x:c r="C83" s="12"/>
      <x:c r="D83" s="12"/>
      <x:c r="E83" s="12"/>
      <x:c r="F83" s="12"/>
      <x:c r="G83" s="12"/>
      <x:c r="H83" s="13"/>
      <x:c r="I83" s="12"/>
      <x:c r="J83" s="12"/>
      <x:c r="K83" s="12"/>
      <x:c r="L83" s="12"/>
      <x:c r="M83" s="12"/>
      <x:c r="N83" s="12"/>
      <x:c r="O83" s="13"/>
      <x:c r="P83" s="12"/>
      <x:c r="Q83" s="12"/>
      <x:c r="R83" s="15" t="str">
        <x:f>IF(A83="","",IF(I83&lt;&gt;"Cerrada","Abierta",IF(OR(J83="",L83="",M83="",N83&lt;&gt;"Conforme",O83="",NOT(ISNUMBER(O83)),O83&lt;=0,NOT(ISNUMBER(Parametros!$B$6)),Parametros!$B$6&lt;=0,O83&gt;Parametros!$B$6,AND(P83&lt;&gt;"Sí",P83&lt;&gt;"No"),AND(P83="Sí",Q83&lt;&gt;"Conforme")),"Cierre bloqueado","Cierre verificable")))</x:f>
      </x:c>
      <x:c r="S83" s="15" t="str">
        <x:f>IF(A83="","",IF(R83="Cierre verificable","Verificada",IF(ISBLANK(H83),"Sin fecha objetivo",IF(OR(NOT(ISNUMBER(H83)),H83&lt;=0),"Fecha objetivo inválida",IF(OR(Parametros!$B$6="",NOT(ISNUMBER(Parametros!$B$6)),Parametros!$B$6&lt;=0),"Revisar fecha de corte",IF(H83&lt;Parametros!$B$6,"Vencida","En plazo"))))))</x:f>
      </x:c>
    </x:row>
    <x:row r="84" ht="62" customHeight="1">
      <x:c r="A84" s="12"/>
      <x:c r="B84" s="12"/>
      <x:c r="C84" s="12"/>
      <x:c r="D84" s="12"/>
      <x:c r="E84" s="12"/>
      <x:c r="F84" s="12"/>
      <x:c r="G84" s="12"/>
      <x:c r="H84" s="13"/>
      <x:c r="I84" s="12"/>
      <x:c r="J84" s="12"/>
      <x:c r="K84" s="12"/>
      <x:c r="L84" s="12"/>
      <x:c r="M84" s="12"/>
      <x:c r="N84" s="12"/>
      <x:c r="O84" s="13"/>
      <x:c r="P84" s="12"/>
      <x:c r="Q84" s="12"/>
      <x:c r="R84" s="15" t="str">
        <x:f>IF(A84="","",IF(I84&lt;&gt;"Cerrada","Abierta",IF(OR(J84="",L84="",M84="",N84&lt;&gt;"Conforme",O84="",NOT(ISNUMBER(O84)),O84&lt;=0,NOT(ISNUMBER(Parametros!$B$6)),Parametros!$B$6&lt;=0,O84&gt;Parametros!$B$6,AND(P84&lt;&gt;"Sí",P84&lt;&gt;"No"),AND(P84="Sí",Q84&lt;&gt;"Conforme")),"Cierre bloqueado","Cierre verificable")))</x:f>
      </x:c>
      <x:c r="S84" s="15" t="str">
        <x:f>IF(A84="","",IF(R84="Cierre verificable","Verificada",IF(ISBLANK(H84),"Sin fecha objetivo",IF(OR(NOT(ISNUMBER(H84)),H84&lt;=0),"Fecha objetivo inválida",IF(OR(Parametros!$B$6="",NOT(ISNUMBER(Parametros!$B$6)),Parametros!$B$6&lt;=0),"Revisar fecha de corte",IF(H84&lt;Parametros!$B$6,"Vencida","En plazo"))))))</x:f>
      </x:c>
    </x:row>
    <x:row r="85" ht="62" customHeight="1">
      <x:c r="A85" s="12"/>
      <x:c r="B85" s="12"/>
      <x:c r="C85" s="12"/>
      <x:c r="D85" s="12"/>
      <x:c r="E85" s="12"/>
      <x:c r="F85" s="12"/>
      <x:c r="G85" s="12"/>
      <x:c r="H85" s="13"/>
      <x:c r="I85" s="12"/>
      <x:c r="J85" s="12"/>
      <x:c r="K85" s="12"/>
      <x:c r="L85" s="12"/>
      <x:c r="M85" s="12"/>
      <x:c r="N85" s="12"/>
      <x:c r="O85" s="13"/>
      <x:c r="P85" s="12"/>
      <x:c r="Q85" s="12"/>
      <x:c r="R85" s="15" t="str">
        <x:f>IF(A85="","",IF(I85&lt;&gt;"Cerrada","Abierta",IF(OR(J85="",L85="",M85="",N85&lt;&gt;"Conforme",O85="",NOT(ISNUMBER(O85)),O85&lt;=0,NOT(ISNUMBER(Parametros!$B$6)),Parametros!$B$6&lt;=0,O85&gt;Parametros!$B$6,AND(P85&lt;&gt;"Sí",P85&lt;&gt;"No"),AND(P85="Sí",Q85&lt;&gt;"Conforme")),"Cierre bloqueado","Cierre verificable")))</x:f>
      </x:c>
      <x:c r="S85" s="15" t="str">
        <x:f>IF(A85="","",IF(R85="Cierre verificable","Verificada",IF(ISBLANK(H85),"Sin fecha objetivo",IF(OR(NOT(ISNUMBER(H85)),H85&lt;=0),"Fecha objetivo inválida",IF(OR(Parametros!$B$6="",NOT(ISNUMBER(Parametros!$B$6)),Parametros!$B$6&lt;=0),"Revisar fecha de corte",IF(H85&lt;Parametros!$B$6,"Vencida","En plazo"))))))</x:f>
      </x:c>
    </x:row>
    <x:row r="86" ht="62" customHeight="1">
      <x:c r="A86" s="12"/>
      <x:c r="B86" s="12"/>
      <x:c r="C86" s="12"/>
      <x:c r="D86" s="12"/>
      <x:c r="E86" s="12"/>
      <x:c r="F86" s="12"/>
      <x:c r="G86" s="12"/>
      <x:c r="H86" s="13"/>
      <x:c r="I86" s="12"/>
      <x:c r="J86" s="12"/>
      <x:c r="K86" s="12"/>
      <x:c r="L86" s="12"/>
      <x:c r="M86" s="12"/>
      <x:c r="N86" s="12"/>
      <x:c r="O86" s="13"/>
      <x:c r="P86" s="12"/>
      <x:c r="Q86" s="12"/>
      <x:c r="R86" s="15" t="str">
        <x:f>IF(A86="","",IF(I86&lt;&gt;"Cerrada","Abierta",IF(OR(J86="",L86="",M86="",N86&lt;&gt;"Conforme",O86="",NOT(ISNUMBER(O86)),O86&lt;=0,NOT(ISNUMBER(Parametros!$B$6)),Parametros!$B$6&lt;=0,O86&gt;Parametros!$B$6,AND(P86&lt;&gt;"Sí",P86&lt;&gt;"No"),AND(P86="Sí",Q86&lt;&gt;"Conforme")),"Cierre bloqueado","Cierre verificable")))</x:f>
      </x:c>
      <x:c r="S86" s="15" t="str">
        <x:f>IF(A86="","",IF(R86="Cierre verificable","Verificada",IF(ISBLANK(H86),"Sin fecha objetivo",IF(OR(NOT(ISNUMBER(H86)),H86&lt;=0),"Fecha objetivo inválida",IF(OR(Parametros!$B$6="",NOT(ISNUMBER(Parametros!$B$6)),Parametros!$B$6&lt;=0),"Revisar fecha de corte",IF(H86&lt;Parametros!$B$6,"Vencida","En plazo"))))))</x:f>
      </x:c>
    </x:row>
    <x:row r="87" ht="62" customHeight="1">
      <x:c r="A87" s="12"/>
      <x:c r="B87" s="12"/>
      <x:c r="C87" s="12"/>
      <x:c r="D87" s="12"/>
      <x:c r="E87" s="12"/>
      <x:c r="F87" s="12"/>
      <x:c r="G87" s="12"/>
      <x:c r="H87" s="13"/>
      <x:c r="I87" s="12"/>
      <x:c r="J87" s="12"/>
      <x:c r="K87" s="12"/>
      <x:c r="L87" s="12"/>
      <x:c r="M87" s="12"/>
      <x:c r="N87" s="12"/>
      <x:c r="O87" s="13"/>
      <x:c r="P87" s="12"/>
      <x:c r="Q87" s="12"/>
      <x:c r="R87" s="15" t="str">
        <x:f>IF(A87="","",IF(I87&lt;&gt;"Cerrada","Abierta",IF(OR(J87="",L87="",M87="",N87&lt;&gt;"Conforme",O87="",NOT(ISNUMBER(O87)),O87&lt;=0,NOT(ISNUMBER(Parametros!$B$6)),Parametros!$B$6&lt;=0,O87&gt;Parametros!$B$6,AND(P87&lt;&gt;"Sí",P87&lt;&gt;"No"),AND(P87="Sí",Q87&lt;&gt;"Conforme")),"Cierre bloqueado","Cierre verificable")))</x:f>
      </x:c>
      <x:c r="S87" s="15" t="str">
        <x:f>IF(A87="","",IF(R87="Cierre verificable","Verificada",IF(ISBLANK(H87),"Sin fecha objetivo",IF(OR(NOT(ISNUMBER(H87)),H87&lt;=0),"Fecha objetivo inválida",IF(OR(Parametros!$B$6="",NOT(ISNUMBER(Parametros!$B$6)),Parametros!$B$6&lt;=0),"Revisar fecha de corte",IF(H87&lt;Parametros!$B$6,"Vencida","En plazo"))))))</x:f>
      </x:c>
    </x:row>
    <x:row r="88" ht="62" customHeight="1">
      <x:c r="A88" s="12"/>
      <x:c r="B88" s="12"/>
      <x:c r="C88" s="12"/>
      <x:c r="D88" s="12"/>
      <x:c r="E88" s="12"/>
      <x:c r="F88" s="12"/>
      <x:c r="G88" s="12"/>
      <x:c r="H88" s="13"/>
      <x:c r="I88" s="12"/>
      <x:c r="J88" s="12"/>
      <x:c r="K88" s="12"/>
      <x:c r="L88" s="12"/>
      <x:c r="M88" s="12"/>
      <x:c r="N88" s="12"/>
      <x:c r="O88" s="13"/>
      <x:c r="P88" s="12"/>
      <x:c r="Q88" s="12"/>
      <x:c r="R88" s="15" t="str">
        <x:f>IF(A88="","",IF(I88&lt;&gt;"Cerrada","Abierta",IF(OR(J88="",L88="",M88="",N88&lt;&gt;"Conforme",O88="",NOT(ISNUMBER(O88)),O88&lt;=0,NOT(ISNUMBER(Parametros!$B$6)),Parametros!$B$6&lt;=0,O88&gt;Parametros!$B$6,AND(P88&lt;&gt;"Sí",P88&lt;&gt;"No"),AND(P88="Sí",Q88&lt;&gt;"Conforme")),"Cierre bloqueado","Cierre verificable")))</x:f>
      </x:c>
      <x:c r="S88" s="15" t="str">
        <x:f>IF(A88="","",IF(R88="Cierre verificable","Verificada",IF(ISBLANK(H88),"Sin fecha objetivo",IF(OR(NOT(ISNUMBER(H88)),H88&lt;=0),"Fecha objetivo inválida",IF(OR(Parametros!$B$6="",NOT(ISNUMBER(Parametros!$B$6)),Parametros!$B$6&lt;=0),"Revisar fecha de corte",IF(H88&lt;Parametros!$B$6,"Vencida","En plazo"))))))</x:f>
      </x:c>
    </x:row>
    <x:row r="89" ht="62" customHeight="1">
      <x:c r="A89" s="12"/>
      <x:c r="B89" s="12"/>
      <x:c r="C89" s="12"/>
      <x:c r="D89" s="12"/>
      <x:c r="E89" s="12"/>
      <x:c r="F89" s="12"/>
      <x:c r="G89" s="12"/>
      <x:c r="H89" s="13"/>
      <x:c r="I89" s="12"/>
      <x:c r="J89" s="12"/>
      <x:c r="K89" s="12"/>
      <x:c r="L89" s="12"/>
      <x:c r="M89" s="12"/>
      <x:c r="N89" s="12"/>
      <x:c r="O89" s="13"/>
      <x:c r="P89" s="12"/>
      <x:c r="Q89" s="12"/>
      <x:c r="R89" s="15" t="str">
        <x:f>IF(A89="","",IF(I89&lt;&gt;"Cerrada","Abierta",IF(OR(J89="",L89="",M89="",N89&lt;&gt;"Conforme",O89="",NOT(ISNUMBER(O89)),O89&lt;=0,NOT(ISNUMBER(Parametros!$B$6)),Parametros!$B$6&lt;=0,O89&gt;Parametros!$B$6,AND(P89&lt;&gt;"Sí",P89&lt;&gt;"No"),AND(P89="Sí",Q89&lt;&gt;"Conforme")),"Cierre bloqueado","Cierre verificable")))</x:f>
      </x:c>
      <x:c r="S89" s="15" t="str">
        <x:f>IF(A89="","",IF(R89="Cierre verificable","Verificada",IF(ISBLANK(H89),"Sin fecha objetivo",IF(OR(NOT(ISNUMBER(H89)),H89&lt;=0),"Fecha objetivo inválida",IF(OR(Parametros!$B$6="",NOT(ISNUMBER(Parametros!$B$6)),Parametros!$B$6&lt;=0),"Revisar fecha de corte",IF(H89&lt;Parametros!$B$6,"Vencida","En plazo"))))))</x:f>
      </x:c>
    </x:row>
    <x:row r="90" ht="62" customHeight="1">
      <x:c r="A90" s="12"/>
      <x:c r="B90" s="12"/>
      <x:c r="C90" s="12"/>
      <x:c r="D90" s="12"/>
      <x:c r="E90" s="12"/>
      <x:c r="F90" s="12"/>
      <x:c r="G90" s="12"/>
      <x:c r="H90" s="13"/>
      <x:c r="I90" s="12"/>
      <x:c r="J90" s="12"/>
      <x:c r="K90" s="12"/>
      <x:c r="L90" s="12"/>
      <x:c r="M90" s="12"/>
      <x:c r="N90" s="12"/>
      <x:c r="O90" s="13"/>
      <x:c r="P90" s="12"/>
      <x:c r="Q90" s="12"/>
      <x:c r="R90" s="15" t="str">
        <x:f>IF(A90="","",IF(I90&lt;&gt;"Cerrada","Abierta",IF(OR(J90="",L90="",M90="",N90&lt;&gt;"Conforme",O90="",NOT(ISNUMBER(O90)),O90&lt;=0,NOT(ISNUMBER(Parametros!$B$6)),Parametros!$B$6&lt;=0,O90&gt;Parametros!$B$6,AND(P90&lt;&gt;"Sí",P90&lt;&gt;"No"),AND(P90="Sí",Q90&lt;&gt;"Conforme")),"Cierre bloqueado","Cierre verificable")))</x:f>
      </x:c>
      <x:c r="S90" s="15" t="str">
        <x:f>IF(A90="","",IF(R90="Cierre verificable","Verificada",IF(ISBLANK(H90),"Sin fecha objetivo",IF(OR(NOT(ISNUMBER(H90)),H90&lt;=0),"Fecha objetivo inválida",IF(OR(Parametros!$B$6="",NOT(ISNUMBER(Parametros!$B$6)),Parametros!$B$6&lt;=0),"Revisar fecha de corte",IF(H90&lt;Parametros!$B$6,"Vencida","En plazo"))))))</x:f>
      </x:c>
    </x:row>
    <x:row r="91" ht="62" customHeight="1">
      <x:c r="A91" s="12"/>
      <x:c r="B91" s="12"/>
      <x:c r="C91" s="12"/>
      <x:c r="D91" s="12"/>
      <x:c r="E91" s="12"/>
      <x:c r="F91" s="12"/>
      <x:c r="G91" s="12"/>
      <x:c r="H91" s="13"/>
      <x:c r="I91" s="12"/>
      <x:c r="J91" s="12"/>
      <x:c r="K91" s="12"/>
      <x:c r="L91" s="12"/>
      <x:c r="M91" s="12"/>
      <x:c r="N91" s="12"/>
      <x:c r="O91" s="13"/>
      <x:c r="P91" s="12"/>
      <x:c r="Q91" s="12"/>
      <x:c r="R91" s="15" t="str">
        <x:f>IF(A91="","",IF(I91&lt;&gt;"Cerrada","Abierta",IF(OR(J91="",L91="",M91="",N91&lt;&gt;"Conforme",O91="",NOT(ISNUMBER(O91)),O91&lt;=0,NOT(ISNUMBER(Parametros!$B$6)),Parametros!$B$6&lt;=0,O91&gt;Parametros!$B$6,AND(P91&lt;&gt;"Sí",P91&lt;&gt;"No"),AND(P91="Sí",Q91&lt;&gt;"Conforme")),"Cierre bloqueado","Cierre verificable")))</x:f>
      </x:c>
      <x:c r="S91" s="15" t="str">
        <x:f>IF(A91="","",IF(R91="Cierre verificable","Verificada",IF(ISBLANK(H91),"Sin fecha objetivo",IF(OR(NOT(ISNUMBER(H91)),H91&lt;=0),"Fecha objetivo inválida",IF(OR(Parametros!$B$6="",NOT(ISNUMBER(Parametros!$B$6)),Parametros!$B$6&lt;=0),"Revisar fecha de corte",IF(H91&lt;Parametros!$B$6,"Vencida","En plazo"))))))</x:f>
      </x:c>
    </x:row>
    <x:row r="92" ht="62" customHeight="1">
      <x:c r="A92" s="12"/>
      <x:c r="B92" s="12"/>
      <x:c r="C92" s="12"/>
      <x:c r="D92" s="12"/>
      <x:c r="E92" s="12"/>
      <x:c r="F92" s="12"/>
      <x:c r="G92" s="12"/>
      <x:c r="H92" s="13"/>
      <x:c r="I92" s="12"/>
      <x:c r="J92" s="12"/>
      <x:c r="K92" s="12"/>
      <x:c r="L92" s="12"/>
      <x:c r="M92" s="12"/>
      <x:c r="N92" s="12"/>
      <x:c r="O92" s="13"/>
      <x:c r="P92" s="12"/>
      <x:c r="Q92" s="12"/>
      <x:c r="R92" s="15" t="str">
        <x:f>IF(A92="","",IF(I92&lt;&gt;"Cerrada","Abierta",IF(OR(J92="",L92="",M92="",N92&lt;&gt;"Conforme",O92="",NOT(ISNUMBER(O92)),O92&lt;=0,NOT(ISNUMBER(Parametros!$B$6)),Parametros!$B$6&lt;=0,O92&gt;Parametros!$B$6,AND(P92&lt;&gt;"Sí",P92&lt;&gt;"No"),AND(P92="Sí",Q92&lt;&gt;"Conforme")),"Cierre bloqueado","Cierre verificable")))</x:f>
      </x:c>
      <x:c r="S92" s="15" t="str">
        <x:f>IF(A92="","",IF(R92="Cierre verificable","Verificada",IF(ISBLANK(H92),"Sin fecha objetivo",IF(OR(NOT(ISNUMBER(H92)),H92&lt;=0),"Fecha objetivo inválida",IF(OR(Parametros!$B$6="",NOT(ISNUMBER(Parametros!$B$6)),Parametros!$B$6&lt;=0),"Revisar fecha de corte",IF(H92&lt;Parametros!$B$6,"Vencida","En plazo"))))))</x:f>
      </x:c>
    </x:row>
    <x:row r="93" ht="62" customHeight="1">
      <x:c r="A93" s="12"/>
      <x:c r="B93" s="12"/>
      <x:c r="C93" s="12"/>
      <x:c r="D93" s="12"/>
      <x:c r="E93" s="12"/>
      <x:c r="F93" s="12"/>
      <x:c r="G93" s="12"/>
      <x:c r="H93" s="13"/>
      <x:c r="I93" s="12"/>
      <x:c r="J93" s="12"/>
      <x:c r="K93" s="12"/>
      <x:c r="L93" s="12"/>
      <x:c r="M93" s="12"/>
      <x:c r="N93" s="12"/>
      <x:c r="O93" s="13"/>
      <x:c r="P93" s="12"/>
      <x:c r="Q93" s="12"/>
      <x:c r="R93" s="15" t="str">
        <x:f>IF(A93="","",IF(I93&lt;&gt;"Cerrada","Abierta",IF(OR(J93="",L93="",M93="",N93&lt;&gt;"Conforme",O93="",NOT(ISNUMBER(O93)),O93&lt;=0,NOT(ISNUMBER(Parametros!$B$6)),Parametros!$B$6&lt;=0,O93&gt;Parametros!$B$6,AND(P93&lt;&gt;"Sí",P93&lt;&gt;"No"),AND(P93="Sí",Q93&lt;&gt;"Conforme")),"Cierre bloqueado","Cierre verificable")))</x:f>
      </x:c>
      <x:c r="S93" s="15" t="str">
        <x:f>IF(A93="","",IF(R93="Cierre verificable","Verificada",IF(ISBLANK(H93),"Sin fecha objetivo",IF(OR(NOT(ISNUMBER(H93)),H93&lt;=0),"Fecha objetivo inválida",IF(OR(Parametros!$B$6="",NOT(ISNUMBER(Parametros!$B$6)),Parametros!$B$6&lt;=0),"Revisar fecha de corte",IF(H93&lt;Parametros!$B$6,"Vencida","En plazo"))))))</x:f>
      </x:c>
    </x:row>
    <x:row r="94" ht="62" customHeight="1">
      <x:c r="A94" s="12"/>
      <x:c r="B94" s="12"/>
      <x:c r="C94" s="12"/>
      <x:c r="D94" s="12"/>
      <x:c r="E94" s="12"/>
      <x:c r="F94" s="12"/>
      <x:c r="G94" s="12"/>
      <x:c r="H94" s="13"/>
      <x:c r="I94" s="12"/>
      <x:c r="J94" s="12"/>
      <x:c r="K94" s="12"/>
      <x:c r="L94" s="12"/>
      <x:c r="M94" s="12"/>
      <x:c r="N94" s="12"/>
      <x:c r="O94" s="13"/>
      <x:c r="P94" s="12"/>
      <x:c r="Q94" s="12"/>
      <x:c r="R94" s="15" t="str">
        <x:f>IF(A94="","",IF(I94&lt;&gt;"Cerrada","Abierta",IF(OR(J94="",L94="",M94="",N94&lt;&gt;"Conforme",O94="",NOT(ISNUMBER(O94)),O94&lt;=0,NOT(ISNUMBER(Parametros!$B$6)),Parametros!$B$6&lt;=0,O94&gt;Parametros!$B$6,AND(P94&lt;&gt;"Sí",P94&lt;&gt;"No"),AND(P94="Sí",Q94&lt;&gt;"Conforme")),"Cierre bloqueado","Cierre verificable")))</x:f>
      </x:c>
      <x:c r="S94" s="15" t="str">
        <x:f>IF(A94="","",IF(R94="Cierre verificable","Verificada",IF(ISBLANK(H94),"Sin fecha objetivo",IF(OR(NOT(ISNUMBER(H94)),H94&lt;=0),"Fecha objetivo inválida",IF(OR(Parametros!$B$6="",NOT(ISNUMBER(Parametros!$B$6)),Parametros!$B$6&lt;=0),"Revisar fecha de corte",IF(H94&lt;Parametros!$B$6,"Vencida","En plazo"))))))</x:f>
      </x:c>
    </x:row>
    <x:row r="95" ht="62" customHeight="1">
      <x:c r="A95" s="12"/>
      <x:c r="B95" s="12"/>
      <x:c r="C95" s="12"/>
      <x:c r="D95" s="12"/>
      <x:c r="E95" s="12"/>
      <x:c r="F95" s="12"/>
      <x:c r="G95" s="12"/>
      <x:c r="H95" s="13"/>
      <x:c r="I95" s="12"/>
      <x:c r="J95" s="12"/>
      <x:c r="K95" s="12"/>
      <x:c r="L95" s="12"/>
      <x:c r="M95" s="12"/>
      <x:c r="N95" s="12"/>
      <x:c r="O95" s="13"/>
      <x:c r="P95" s="12"/>
      <x:c r="Q95" s="12"/>
      <x:c r="R95" s="15" t="str">
        <x:f>IF(A95="","",IF(I95&lt;&gt;"Cerrada","Abierta",IF(OR(J95="",L95="",M95="",N95&lt;&gt;"Conforme",O95="",NOT(ISNUMBER(O95)),O95&lt;=0,NOT(ISNUMBER(Parametros!$B$6)),Parametros!$B$6&lt;=0,O95&gt;Parametros!$B$6,AND(P95&lt;&gt;"Sí",P95&lt;&gt;"No"),AND(P95="Sí",Q95&lt;&gt;"Conforme")),"Cierre bloqueado","Cierre verificable")))</x:f>
      </x:c>
      <x:c r="S95" s="15" t="str">
        <x:f>IF(A95="","",IF(R95="Cierre verificable","Verificada",IF(ISBLANK(H95),"Sin fecha objetivo",IF(OR(NOT(ISNUMBER(H95)),H95&lt;=0),"Fecha objetivo inválida",IF(OR(Parametros!$B$6="",NOT(ISNUMBER(Parametros!$B$6)),Parametros!$B$6&lt;=0),"Revisar fecha de corte",IF(H95&lt;Parametros!$B$6,"Vencida","En plazo"))))))</x:f>
      </x:c>
    </x:row>
    <x:row r="96" ht="62" customHeight="1">
      <x:c r="A96" s="12"/>
      <x:c r="B96" s="12"/>
      <x:c r="C96" s="12"/>
      <x:c r="D96" s="12"/>
      <x:c r="E96" s="12"/>
      <x:c r="F96" s="12"/>
      <x:c r="G96" s="12"/>
      <x:c r="H96" s="13"/>
      <x:c r="I96" s="12"/>
      <x:c r="J96" s="12"/>
      <x:c r="K96" s="12"/>
      <x:c r="L96" s="12"/>
      <x:c r="M96" s="12"/>
      <x:c r="N96" s="12"/>
      <x:c r="O96" s="13"/>
      <x:c r="P96" s="12"/>
      <x:c r="Q96" s="12"/>
      <x:c r="R96" s="15" t="str">
        <x:f>IF(A96="","",IF(I96&lt;&gt;"Cerrada","Abierta",IF(OR(J96="",L96="",M96="",N96&lt;&gt;"Conforme",O96="",NOT(ISNUMBER(O96)),O96&lt;=0,NOT(ISNUMBER(Parametros!$B$6)),Parametros!$B$6&lt;=0,O96&gt;Parametros!$B$6,AND(P96&lt;&gt;"Sí",P96&lt;&gt;"No"),AND(P96="Sí",Q96&lt;&gt;"Conforme")),"Cierre bloqueado","Cierre verificable")))</x:f>
      </x:c>
      <x:c r="S96" s="15" t="str">
        <x:f>IF(A96="","",IF(R96="Cierre verificable","Verificada",IF(ISBLANK(H96),"Sin fecha objetivo",IF(OR(NOT(ISNUMBER(H96)),H96&lt;=0),"Fecha objetivo inválida",IF(OR(Parametros!$B$6="",NOT(ISNUMBER(Parametros!$B$6)),Parametros!$B$6&lt;=0),"Revisar fecha de corte",IF(H96&lt;Parametros!$B$6,"Vencida","En plazo"))))))</x:f>
      </x:c>
    </x:row>
    <x:row r="97" ht="62" customHeight="1">
      <x:c r="A97" s="12"/>
      <x:c r="B97" s="12"/>
      <x:c r="C97" s="12"/>
      <x:c r="D97" s="12"/>
      <x:c r="E97" s="12"/>
      <x:c r="F97" s="12"/>
      <x:c r="G97" s="12"/>
      <x:c r="H97" s="13"/>
      <x:c r="I97" s="12"/>
      <x:c r="J97" s="12"/>
      <x:c r="K97" s="12"/>
      <x:c r="L97" s="12"/>
      <x:c r="M97" s="12"/>
      <x:c r="N97" s="12"/>
      <x:c r="O97" s="13"/>
      <x:c r="P97" s="12"/>
      <x:c r="Q97" s="12"/>
      <x:c r="R97" s="15" t="str">
        <x:f>IF(A97="","",IF(I97&lt;&gt;"Cerrada","Abierta",IF(OR(J97="",L97="",M97="",N97&lt;&gt;"Conforme",O97="",NOT(ISNUMBER(O97)),O97&lt;=0,NOT(ISNUMBER(Parametros!$B$6)),Parametros!$B$6&lt;=0,O97&gt;Parametros!$B$6,AND(P97&lt;&gt;"Sí",P97&lt;&gt;"No"),AND(P97="Sí",Q97&lt;&gt;"Conforme")),"Cierre bloqueado","Cierre verificable")))</x:f>
      </x:c>
      <x:c r="S97" s="15" t="str">
        <x:f>IF(A97="","",IF(R97="Cierre verificable","Verificada",IF(ISBLANK(H97),"Sin fecha objetivo",IF(OR(NOT(ISNUMBER(H97)),H97&lt;=0),"Fecha objetivo inválida",IF(OR(Parametros!$B$6="",NOT(ISNUMBER(Parametros!$B$6)),Parametros!$B$6&lt;=0),"Revisar fecha de corte",IF(H97&lt;Parametros!$B$6,"Vencida","En plazo"))))))</x:f>
      </x:c>
    </x:row>
    <x:row r="98" ht="62" customHeight="1">
      <x:c r="A98" s="12"/>
      <x:c r="B98" s="12"/>
      <x:c r="C98" s="12"/>
      <x:c r="D98" s="12"/>
      <x:c r="E98" s="12"/>
      <x:c r="F98" s="12"/>
      <x:c r="G98" s="12"/>
      <x:c r="H98" s="13"/>
      <x:c r="I98" s="12"/>
      <x:c r="J98" s="12"/>
      <x:c r="K98" s="12"/>
      <x:c r="L98" s="12"/>
      <x:c r="M98" s="12"/>
      <x:c r="N98" s="12"/>
      <x:c r="O98" s="13"/>
      <x:c r="P98" s="12"/>
      <x:c r="Q98" s="12"/>
      <x:c r="R98" s="15" t="str">
        <x:f>IF(A98="","",IF(I98&lt;&gt;"Cerrada","Abierta",IF(OR(J98="",L98="",M98="",N98&lt;&gt;"Conforme",O98="",NOT(ISNUMBER(O98)),O98&lt;=0,NOT(ISNUMBER(Parametros!$B$6)),Parametros!$B$6&lt;=0,O98&gt;Parametros!$B$6,AND(P98&lt;&gt;"Sí",P98&lt;&gt;"No"),AND(P98="Sí",Q98&lt;&gt;"Conforme")),"Cierre bloqueado","Cierre verificable")))</x:f>
      </x:c>
      <x:c r="S98" s="15" t="str">
        <x:f>IF(A98="","",IF(R98="Cierre verificable","Verificada",IF(ISBLANK(H98),"Sin fecha objetivo",IF(OR(NOT(ISNUMBER(H98)),H98&lt;=0),"Fecha objetivo inválida",IF(OR(Parametros!$B$6="",NOT(ISNUMBER(Parametros!$B$6)),Parametros!$B$6&lt;=0),"Revisar fecha de corte",IF(H98&lt;Parametros!$B$6,"Vencida","En plazo"))))))</x:f>
      </x:c>
    </x:row>
    <x:row r="99" ht="62" customHeight="1">
      <x:c r="A99" s="12"/>
      <x:c r="B99" s="12"/>
      <x:c r="C99" s="12"/>
      <x:c r="D99" s="12"/>
      <x:c r="E99" s="12"/>
      <x:c r="F99" s="12"/>
      <x:c r="G99" s="12"/>
      <x:c r="H99" s="13"/>
      <x:c r="I99" s="12"/>
      <x:c r="J99" s="12"/>
      <x:c r="K99" s="12"/>
      <x:c r="L99" s="12"/>
      <x:c r="M99" s="12"/>
      <x:c r="N99" s="12"/>
      <x:c r="O99" s="13"/>
      <x:c r="P99" s="12"/>
      <x:c r="Q99" s="12"/>
      <x:c r="R99" s="15" t="str">
        <x:f>IF(A99="","",IF(I99&lt;&gt;"Cerrada","Abierta",IF(OR(J99="",L99="",M99="",N99&lt;&gt;"Conforme",O99="",NOT(ISNUMBER(O99)),O99&lt;=0,NOT(ISNUMBER(Parametros!$B$6)),Parametros!$B$6&lt;=0,O99&gt;Parametros!$B$6,AND(P99&lt;&gt;"Sí",P99&lt;&gt;"No"),AND(P99="Sí",Q99&lt;&gt;"Conforme")),"Cierre bloqueado","Cierre verificable")))</x:f>
      </x:c>
      <x:c r="S99" s="15" t="str">
        <x:f>IF(A99="","",IF(R99="Cierre verificable","Verificada",IF(ISBLANK(H99),"Sin fecha objetivo",IF(OR(NOT(ISNUMBER(H99)),H99&lt;=0),"Fecha objetivo inválida",IF(OR(Parametros!$B$6="",NOT(ISNUMBER(Parametros!$B$6)),Parametros!$B$6&lt;=0),"Revisar fecha de corte",IF(H99&lt;Parametros!$B$6,"Vencida","En plazo"))))))</x:f>
      </x:c>
    </x:row>
    <x:row r="100" ht="62" customHeight="1">
      <x:c r="A100" s="12"/>
      <x:c r="B100" s="12"/>
      <x:c r="C100" s="12"/>
      <x:c r="D100" s="12"/>
      <x:c r="E100" s="12"/>
      <x:c r="F100" s="12"/>
      <x:c r="G100" s="12"/>
      <x:c r="H100" s="13"/>
      <x:c r="I100" s="12"/>
      <x:c r="J100" s="12"/>
      <x:c r="K100" s="12"/>
      <x:c r="L100" s="12"/>
      <x:c r="M100" s="12"/>
      <x:c r="N100" s="12"/>
      <x:c r="O100" s="13"/>
      <x:c r="P100" s="12"/>
      <x:c r="Q100" s="12"/>
      <x:c r="R100" s="15" t="str">
        <x:f>IF(A100="","",IF(I100&lt;&gt;"Cerrada","Abierta",IF(OR(J100="",L100="",M100="",N100&lt;&gt;"Conforme",O100="",NOT(ISNUMBER(O100)),O100&lt;=0,NOT(ISNUMBER(Parametros!$B$6)),Parametros!$B$6&lt;=0,O100&gt;Parametros!$B$6,AND(P100&lt;&gt;"Sí",P100&lt;&gt;"No"),AND(P100="Sí",Q100&lt;&gt;"Conforme")),"Cierre bloqueado","Cierre verificable")))</x:f>
      </x:c>
      <x:c r="S100" s="15" t="str">
        <x:f>IF(A100="","",IF(R100="Cierre verificable","Verificada",IF(ISBLANK(H100),"Sin fecha objetivo",IF(OR(NOT(ISNUMBER(H100)),H100&lt;=0),"Fecha objetivo inválida",IF(OR(Parametros!$B$6="",NOT(ISNUMBER(Parametros!$B$6)),Parametros!$B$6&lt;=0),"Revisar fecha de corte",IF(H100&lt;Parametros!$B$6,"Vencida","En plazo"))))))</x:f>
      </x:c>
    </x:row>
    <x:row r="101" ht="62" customHeight="1">
      <x:c r="A101" s="12"/>
      <x:c r="B101" s="12"/>
      <x:c r="C101" s="12"/>
      <x:c r="D101" s="12"/>
      <x:c r="E101" s="12"/>
      <x:c r="F101" s="12"/>
      <x:c r="G101" s="12"/>
      <x:c r="H101" s="13"/>
      <x:c r="I101" s="12"/>
      <x:c r="J101" s="12"/>
      <x:c r="K101" s="12"/>
      <x:c r="L101" s="12"/>
      <x:c r="M101" s="12"/>
      <x:c r="N101" s="12"/>
      <x:c r="O101" s="13"/>
      <x:c r="P101" s="12"/>
      <x:c r="Q101" s="12"/>
      <x:c r="R101" s="15" t="str">
        <x:f>IF(A101="","",IF(I101&lt;&gt;"Cerrada","Abierta",IF(OR(J101="",L101="",M101="",N101&lt;&gt;"Conforme",O101="",NOT(ISNUMBER(O101)),O101&lt;=0,NOT(ISNUMBER(Parametros!$B$6)),Parametros!$B$6&lt;=0,O101&gt;Parametros!$B$6,AND(P101&lt;&gt;"Sí",P101&lt;&gt;"No"),AND(P101="Sí",Q101&lt;&gt;"Conforme")),"Cierre bloqueado","Cierre verificable")))</x:f>
      </x:c>
      <x:c r="S101" s="15" t="str">
        <x:f>IF(A101="","",IF(R101="Cierre verificable","Verificada",IF(ISBLANK(H101),"Sin fecha objetivo",IF(OR(NOT(ISNUMBER(H101)),H101&lt;=0),"Fecha objetivo inválida",IF(OR(Parametros!$B$6="",NOT(ISNUMBER(Parametros!$B$6)),Parametros!$B$6&lt;=0),"Revisar fecha de corte",IF(H101&lt;Parametros!$B$6,"Vencida","En plazo"))))))</x:f>
      </x:c>
    </x:row>
    <x:row r="102" ht="62" customHeight="1">
      <x:c r="A102" s="12"/>
      <x:c r="B102" s="12"/>
      <x:c r="C102" s="12"/>
      <x:c r="D102" s="12"/>
      <x:c r="E102" s="12"/>
      <x:c r="F102" s="12"/>
      <x:c r="G102" s="12"/>
      <x:c r="H102" s="13"/>
      <x:c r="I102" s="12"/>
      <x:c r="J102" s="12"/>
      <x:c r="K102" s="12"/>
      <x:c r="L102" s="12"/>
      <x:c r="M102" s="12"/>
      <x:c r="N102" s="12"/>
      <x:c r="O102" s="13"/>
      <x:c r="P102" s="12"/>
      <x:c r="Q102" s="12"/>
      <x:c r="R102" s="15" t="str">
        <x:f>IF(A102="","",IF(I102&lt;&gt;"Cerrada","Abierta",IF(OR(J102="",L102="",M102="",N102&lt;&gt;"Conforme",O102="",NOT(ISNUMBER(O102)),O102&lt;=0,NOT(ISNUMBER(Parametros!$B$6)),Parametros!$B$6&lt;=0,O102&gt;Parametros!$B$6,AND(P102&lt;&gt;"Sí",P102&lt;&gt;"No"),AND(P102="Sí",Q102&lt;&gt;"Conforme")),"Cierre bloqueado","Cierre verificable")))</x:f>
      </x:c>
      <x:c r="S102" s="15" t="str">
        <x:f>IF(A102="","",IF(R102="Cierre verificable","Verificada",IF(ISBLANK(H102),"Sin fecha objetivo",IF(OR(NOT(ISNUMBER(H102)),H102&lt;=0),"Fecha objetivo inválida",IF(OR(Parametros!$B$6="",NOT(ISNUMBER(Parametros!$B$6)),Parametros!$B$6&lt;=0),"Revisar fecha de corte",IF(H102&lt;Parametros!$B$6,"Vencida","En plazo"))))))</x:f>
      </x:c>
    </x:row>
    <x:row r="103" ht="62" customHeight="1">
      <x:c r="A103" s="12"/>
      <x:c r="B103" s="12"/>
      <x:c r="C103" s="12"/>
      <x:c r="D103" s="12"/>
      <x:c r="E103" s="12"/>
      <x:c r="F103" s="12"/>
      <x:c r="G103" s="12"/>
      <x:c r="H103" s="13"/>
      <x:c r="I103" s="12"/>
      <x:c r="J103" s="12"/>
      <x:c r="K103" s="12"/>
      <x:c r="L103" s="12"/>
      <x:c r="M103" s="12"/>
      <x:c r="N103" s="12"/>
      <x:c r="O103" s="13"/>
      <x:c r="P103" s="12"/>
      <x:c r="Q103" s="12"/>
      <x:c r="R103" s="15" t="str">
        <x:f>IF(A103="","",IF(I103&lt;&gt;"Cerrada","Abierta",IF(OR(J103="",L103="",M103="",N103&lt;&gt;"Conforme",O103="",NOT(ISNUMBER(O103)),O103&lt;=0,NOT(ISNUMBER(Parametros!$B$6)),Parametros!$B$6&lt;=0,O103&gt;Parametros!$B$6,AND(P103&lt;&gt;"Sí",P103&lt;&gt;"No"),AND(P103="Sí",Q103&lt;&gt;"Conforme")),"Cierre bloqueado","Cierre verificable")))</x:f>
      </x:c>
      <x:c r="S103" s="15" t="str">
        <x:f>IF(A103="","",IF(R103="Cierre verificable","Verificada",IF(ISBLANK(H103),"Sin fecha objetivo",IF(OR(NOT(ISNUMBER(H103)),H103&lt;=0),"Fecha objetivo inválida",IF(OR(Parametros!$B$6="",NOT(ISNUMBER(Parametros!$B$6)),Parametros!$B$6&lt;=0),"Revisar fecha de corte",IF(H103&lt;Parametros!$B$6,"Vencida","En plazo"))))))</x:f>
      </x:c>
    </x:row>
    <x:row r="104" ht="62" customHeight="1">
      <x:c r="A104" s="12"/>
      <x:c r="B104" s="12"/>
      <x:c r="C104" s="12"/>
      <x:c r="D104" s="12"/>
      <x:c r="E104" s="12"/>
      <x:c r="F104" s="12"/>
      <x:c r="G104" s="12"/>
      <x:c r="H104" s="13"/>
      <x:c r="I104" s="12"/>
      <x:c r="J104" s="12"/>
      <x:c r="K104" s="12"/>
      <x:c r="L104" s="12"/>
      <x:c r="M104" s="12"/>
      <x:c r="N104" s="12"/>
      <x:c r="O104" s="13"/>
      <x:c r="P104" s="12"/>
      <x:c r="Q104" s="12"/>
      <x:c r="R104" s="15" t="str">
        <x:f>IF(A104="","",IF(I104&lt;&gt;"Cerrada","Abierta",IF(OR(J104="",L104="",M104="",N104&lt;&gt;"Conforme",O104="",NOT(ISNUMBER(O104)),O104&lt;=0,NOT(ISNUMBER(Parametros!$B$6)),Parametros!$B$6&lt;=0,O104&gt;Parametros!$B$6,AND(P104&lt;&gt;"Sí",P104&lt;&gt;"No"),AND(P104="Sí",Q104&lt;&gt;"Conforme")),"Cierre bloqueado","Cierre verificable")))</x:f>
      </x:c>
      <x:c r="S104" s="15" t="str">
        <x:f>IF(A104="","",IF(R104="Cierre verificable","Verificada",IF(ISBLANK(H104),"Sin fecha objetivo",IF(OR(NOT(ISNUMBER(H104)),H104&lt;=0),"Fecha objetivo inválida",IF(OR(Parametros!$B$6="",NOT(ISNUMBER(Parametros!$B$6)),Parametros!$B$6&lt;=0),"Revisar fecha de corte",IF(H104&lt;Parametros!$B$6,"Vencida","En plazo"))))))</x:f>
      </x:c>
    </x:row>
    <x:row r="105" ht="62" customHeight="1">
      <x:c r="A105" s="12"/>
      <x:c r="B105" s="12"/>
      <x:c r="C105" s="12"/>
      <x:c r="D105" s="12"/>
      <x:c r="E105" s="12"/>
      <x:c r="F105" s="12"/>
      <x:c r="G105" s="12"/>
      <x:c r="H105" s="13"/>
      <x:c r="I105" s="12"/>
      <x:c r="J105" s="12"/>
      <x:c r="K105" s="12"/>
      <x:c r="L105" s="12"/>
      <x:c r="M105" s="12"/>
      <x:c r="N105" s="12"/>
      <x:c r="O105" s="13"/>
      <x:c r="P105" s="12"/>
      <x:c r="Q105" s="12"/>
      <x:c r="R105" s="15" t="str">
        <x:f>IF(A105="","",IF(I105&lt;&gt;"Cerrada","Abierta",IF(OR(J105="",L105="",M105="",N105&lt;&gt;"Conforme",O105="",NOT(ISNUMBER(O105)),O105&lt;=0,NOT(ISNUMBER(Parametros!$B$6)),Parametros!$B$6&lt;=0,O105&gt;Parametros!$B$6,AND(P105&lt;&gt;"Sí",P105&lt;&gt;"No"),AND(P105="Sí",Q105&lt;&gt;"Conforme")),"Cierre bloqueado","Cierre verificable")))</x:f>
      </x:c>
      <x:c r="S105" s="15" t="str">
        <x:f>IF(A105="","",IF(R105="Cierre verificable","Verificada",IF(ISBLANK(H105),"Sin fecha objetivo",IF(OR(NOT(ISNUMBER(H105)),H105&lt;=0),"Fecha objetivo inválida",IF(OR(Parametros!$B$6="",NOT(ISNUMBER(Parametros!$B$6)),Parametros!$B$6&lt;=0),"Revisar fecha de corte",IF(H105&lt;Parametros!$B$6,"Vencida","En plazo"))))))</x:f>
      </x:c>
    </x:row>
  </x:sheetData>
  <x:conditionalFormatting sqref="R6:R105">
    <x:cfRule type="containsText" dxfId="0" priority="1" operator="containsText" text="bloqueado"/>
  </x:conditionalFormatting>
  <x:conditionalFormatting sqref="S6:S105">
    <x:cfRule type="containsText" dxfId="1" priority="2" operator="containsText" text="Vencida"/>
  </x:conditionalFormatting>
  <x:dataValidations count="5">
    <x:dataValidation type="list" sqref="F6:F105">
      <x:formula1>"Alta,Media,Baja"</x:formula1>
    </x:dataValidation>
    <x:dataValidation type="list" sqref="I6:I105">
      <x:formula1>"Pendiente,En curso,En revisión,Cerrada"</x:formula1>
    </x:dataValidation>
    <x:dataValidation type="list" sqref="N6:N105">
      <x:formula1>"Conforme,No conforme,Pendiente"</x:formula1>
    </x:dataValidation>
    <x:dataValidation type="list" sqref="P6:P105">
      <x:formula1>"Sí,No"</x:formula1>
    </x:dataValidation>
    <x:dataValidation type="list" sqref="Q6:Q105">
      <x:formula1>"Conforme,No conforme,Pendiente"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b25d4299ca4083"/>
  </x:tableParts>
</x:worksheet>
</file>

<file path=xl/worksheets/sheet2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4" t="str">
        <x:v>PLA-01 Ejemplo ficticio separado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6" customHeight="1">
      <x:c r="A5" s="10" t="str">
        <x:v>Acción ID</x:v>
      </x:c>
      <x:c r="B5" s="10" t="str">
        <x:v>Brecha ID</x:v>
      </x:c>
      <x:c r="C5" s="10" t="str">
        <x:v>Tratamiento ID</x:v>
      </x:c>
      <x:c r="D5" s="10" t="str">
        <x:v>Requisito ID</x:v>
      </x:c>
      <x:c r="E5" s="10" t="str">
        <x:v>Acción concreta</x:v>
      </x:c>
      <x:c r="F5" s="10" t="str">
        <x:v>Prioridad</x:v>
      </x:c>
      <x:c r="G5" s="10" t="str">
        <x:v>Responsable por rol</x:v>
      </x:c>
      <x:c r="H5" s="10" t="str">
        <x:v>Fecha objetivo</x:v>
      </x:c>
      <x:c r="I5" s="10" t="str">
        <x:v>Estado declarado</x:v>
      </x:c>
      <x:c r="J5" s="10" t="str">
        <x:v>Criterio de aceptación</x:v>
      </x:c>
      <x:c r="K5" s="10" t="str">
        <x:v>Documento IDs</x:v>
      </x:c>
      <x:c r="L5" s="10" t="str">
        <x:v>Evidencia IDs</x:v>
      </x:c>
      <x:c r="M5" s="10" t="str">
        <x:v>Revisor</x:v>
      </x:c>
      <x:c r="N5" s="10" t="str">
        <x:v>Resultado verificación</x:v>
      </x:c>
      <x:c r="O5" s="10" t="str">
        <x:v>Fecha verificación</x:v>
      </x:c>
      <x:c r="P5" s="10" t="str">
        <x:v>Requiere eficacia</x:v>
      </x:c>
      <x:c r="Q5" s="10" t="str">
        <x:v>Resultado eficacia</x:v>
      </x:c>
      <x:c r="R5" s="10" t="str">
        <x:v>Control de cierre</x:v>
      </x:c>
      <x:c r="S5" s="10" t="str">
        <x:v>Alerta temporal</x:v>
      </x:c>
    </x:row>
    <x:row r="6" ht="62" customHeight="1">
      <x:c r="A6" s="12" t="str">
        <x:v>AC-F01</x:v>
      </x:c>
      <x:c r="B6" s="12" t="str">
        <x:v>BR-F01</x:v>
      </x:c>
      <x:c r="C6" s="12" t="str">
        <x:v>TR-F01</x:v>
      </x:c>
      <x:c r="D6" s="12" t="str">
        <x:v>REQ-F01</x:v>
      </x:c>
      <x:c r="E6" s="12" t="str">
        <x:v>Validar país de acceso del proveedor</x:v>
      </x:c>
      <x:c r="F6" s="12" t="str">
        <x:v>Alta</x:v>
      </x:c>
      <x:c r="G6" s="12" t="str">
        <x:v>TI</x:v>
      </x:c>
      <x:c r="H6" s="13" t="n">
        <x:v>46315</x:v>
      </x:c>
      <x:c r="I6" s="12" t="str">
        <x:v>En curso</x:v>
      </x:c>
      <x:c r="J6" s="12" t="str">
        <x:v>Confirmación contractual y técnica del proveedor</x:v>
      </x:c>
      <x:c r="K6" s="12" t="str">
        <x:v>PRV-F01</x:v>
      </x:c>
      <x:c r="L6" s="12"/>
      <x:c r="M6" s="12"/>
      <x:c r="N6" s="12"/>
      <x:c r="O6" s="13"/>
      <x:c r="P6" s="12" t="str">
        <x:v>Sí</x:v>
      </x:c>
      <x:c r="Q6" s="12"/>
      <x:c r="R6" s="15" t="str">
        <x:f>IF(A6="","",IF(I6&lt;&gt;"Cerrada","Abierta",IF(OR(J6="",L6="",M6="",N6&lt;&gt;"Conforme",O6="",NOT(ISNUMBER(O6)),O6&lt;=0,NOT(ISNUMBER(Parametros!$B$6)),Parametros!$B$6&lt;=0,O6&gt;Parametros!$B$6,AND(P6&lt;&gt;"Sí",P6&lt;&gt;"No"),AND(P6="Sí",Q6&lt;&gt;"Conforme")),"Cierre bloqueado","Cierre verificable")))</x:f>
        <x:v>Abierta</x:v>
      </x:c>
      <x:c r="S6" s="15" t="str">
        <x:f>IF(A6="","",IF(R6="Cierre verificable","Verificada",IF(ISBLANK(H6),"Sin fecha objetivo",IF(OR(NOT(ISNUMBER(H6)),H6&lt;=0),"Fecha objetivo inválida",IF(OR(Parametros!$B$6="",NOT(ISNUMBER(Parametros!$B$6)),Parametros!$B$6&lt;=0),"Revisar fecha de corte",IF(H6&lt;Parametros!$B$6,"Vencida","En plazo"))))))</x:f>
        <x:v>Vencida</x:v>
      </x:c>
    </x:row>
  </x:sheetData>
  <x:conditionalFormatting sqref="R6:R6">
    <x:cfRule type="containsText" dxfId="2" priority="1" operator="containsText" text="bloqueado"/>
  </x:conditionalFormatting>
  <x:conditionalFormatting sqref="S6:S6">
    <x:cfRule type="containsText" dxfId="3" priority="2" operator="containsText" text="Vencida"/>
  </x:conditionalFormatting>
  <x:pageMargins left="0.7" right="0.7" top="0.75" bottom="0.75" header="0.3" footer="0.3"/>
  <x:tableParts count="1">
    <x:tablePart xmlns:r="http://schemas.openxmlformats.org/officeDocument/2006/relationships" r:id="R9cc3f48009594453"/>
  </x:tableParts>
</x:worksheet>
</file>

<file path=xl/worksheets/sheet3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00" hidden="0" customWidth="1"/>
    <x:col min="3" max="3" width="23" hidden="0" customWidth="1"/>
    <x:col min="4" max="4" width="48" hidden="0" customWidth="1"/>
  </x:cols>
  <x:sheetData>
    <x:row r="1">
      <x:c r="A1" s="2"/>
      <x:c r="B1" s="2"/>
      <x:c r="C1" s="2"/>
      <x:c r="D1" s="2"/>
    </x:row>
    <x:row r="2">
      <x:c r="A2" s="4" t="str">
        <x:v>PLA-01 Instrucciones de uso</x:v>
      </x:c>
      <x:c r="B2" s="2"/>
      <x:c r="C2" s="2"/>
      <x:c r="D2" s="2"/>
    </x:row>
    <x:row r="3">
      <x:c r="A3" s="5" t="str">
        <x:v>v0.1 • Corte 24 octubre 2026 • Campos editables; revisar instrucciones y fuentes</x:v>
      </x:c>
      <x:c r="B3" s="2"/>
      <x:c r="C3" s="2"/>
      <x:c r="D3" s="2"/>
    </x:row>
    <x:row r="4">
      <x:c r="A4" s="2"/>
      <x:c r="B4" s="2"/>
      <x:c r="C4" s="2"/>
      <x:c r="D4" s="2"/>
    </x:row>
    <x:row r="5" ht="46" customHeight="1">
      <x:c r="A5" s="10" t="str">
        <x:v>Campo o paso</x:v>
      </x:c>
      <x:c r="B5" s="10" t="str">
        <x:v>Valor o instrucción</x:v>
      </x:c>
      <x:c r="C5" s="10" t="str">
        <x:v>Tipo</x:v>
      </x:c>
      <x:c r="D5" s="10" t="str">
        <x:v>Condición</x:v>
      </x:c>
    </x:row>
    <x:row r="6" ht="62" customHeight="1">
      <x:c r="A6" s="12" t="str">
        <x:v>Organización</x:v>
      </x:c>
      <x:c r="B6" s="12" t="str">
        <x:v>{{RAZON_SOCIAL}}</x:v>
      </x:c>
      <x:c r="C6" s="12" t="str">
        <x:v>Obligatorio</x:v>
      </x:c>
      <x:c r="D6" s="12" t="str">
        <x:v>Completar en copia del cliente</x:v>
      </x:c>
    </x:row>
    <x:row r="7" ht="62" customHeight="1">
      <x:c r="A7" s="12" t="str">
        <x:v>Identificador</x:v>
      </x:c>
      <x:c r="B7" s="12" t="str">
        <x:v>{{ORGANIZACION_ID}}</x:v>
      </x:c>
      <x:c r="C7" s="12" t="str">
        <x:v>Obligatorio</x:v>
      </x:c>
      <x:c r="D7" s="12" t="str">
        <x:v>No mezclar organizaciones</x:v>
      </x:c>
    </x:row>
    <x:row r="8" ht="62" customHeight="1">
      <x:c r="A8" s="12" t="str">
        <x:v>Versión cliente</x:v>
      </x:c>
      <x:c r="B8" s="12" t="str">
        <x:v>{{VERSION_CLIENTE}}</x:v>
      </x:c>
      <x:c r="C8" s="12" t="str">
        <x:v>Obligatorio</x:v>
      </x:c>
      <x:c r="D8" s="12" t="str">
        <x:v>Maestro v0.1 para revisión</x:v>
      </x:c>
    </x:row>
    <x:row r="9" ht="62" customHeight="1">
      <x:c r="A9" s="12" t="str">
        <x:v>Objetivo</x:v>
      </x:c>
      <x:c r="B9" s="12" t="str">
        <x:v>Controlar acciones y evidencias; utilizable como exportación del módulo existente.</x:v>
      </x:c>
      <x:c r="C9" s="12" t="str">
        <x:v>Instrucción</x:v>
      </x:c>
      <x:c r="D9" s="12" t="str">
        <x:v>No equivale a cumplimiento certificado</x:v>
      </x:c>
    </x:row>
    <x:row r="10" ht="62" customHeight="1">
      <x:c r="A10" s="12" t="str">
        <x:v>Cómo usar</x:v>
      </x:c>
      <x:c r="B10" s="12" t="str">
        <x:v>Completar Registro; Ejemplo usa datos ficticios y debe retirarse de la copia final.</x:v>
      </x:c>
      <x:c r="C10" s="12" t="str">
        <x:v>Instrucción</x:v>
      </x:c>
      <x:c r="D10" s="12" t="str">
        <x:v>No introducir datos reales en ejemplos</x:v>
      </x:c>
    </x:row>
    <x:row r="11" ht="62" customHeight="1">
      <x:c r="A11" s="12" t="str">
        <x:v>Paso 1</x:v>
      </x:c>
      <x:c r="B11" s="12" t="str">
        <x:v>Cada acción debe tener dueño fecha criterio de aceptación y enlace al hallazgo. Los IDs se sustituyen por los reales del sistema.</x:v>
      </x:c>
      <x:c r="C11" s="12" t="str">
        <x:v>Instrucción</x:v>
      </x:c>
      <x:c r="D11" s="12" t="str">
        <x:v>Aplicar según contexto</x:v>
      </x:c>
    </x:row>
    <x:row r="12" ht="62" customHeight="1">
      <x:c r="A12" s="12" t="str">
        <x:v>Paso 2</x:v>
      </x:c>
      <x:c r="B12" s="12" t="str">
        <x:v>La fecha de corte editable está en Parametros B6; usar fechas Excel en objetivo y verificación. Las fórmulas no sustituyen revisión de evidencias.</x:v>
      </x:c>
      <x:c r="C12" s="12" t="str">
        <x:v>Instrucción</x:v>
      </x:c>
      <x:c r="D12" s="12" t="str">
        <x:v>Aplicar según contexto</x:v>
      </x:c>
    </x:row>
    <x:row r="13" ht="62" customHeight="1">
      <x:c r="A13" s="12" t="str">
        <x:v>Paso 3</x:v>
      </x:c>
      <x:c r="B13" s="12" t="str">
        <x:v>Cerrada requiere evidencia revisor resultado Conforme fecha y criterio; si exige eficacia el resultado también debe ser Conforme. Un dato faltante bloquea el cierre.</x:v>
      </x:c>
      <x:c r="C13" s="12" t="str">
        <x:v>Instrucción</x:v>
      </x:c>
      <x:c r="D13" s="12" t="str">
        <x:v>Aplicar según contexto</x:v>
      </x:c>
    </x:row>
    <x:row r="14" ht="62" customHeight="1">
      <x:c r="A14" s="12" t="str">
        <x:v>Paso 4</x:v>
      </x:c>
      <x:c r="B14" s="12" t="str">
        <x:v>El control de cierre es una alerta de integridad. El revisor debe abrir y comprobar la evidencia. No registrar cierre por mera descarga o aprobación del archivo.</x:v>
      </x:c>
      <x:c r="C14" s="12" t="str">
        <x:v>Instrucción</x:v>
      </x:c>
      <x:c r="D14" s="12" t="str">
        <x:v>Aplicar según contexto</x:v>
      </x:c>
    </x:row>
    <x:row r="15" ht="62" customHeight="1">
      <x:c r="A15" s="12" t="str">
        <x:v>Estado</x:v>
      </x:c>
      <x:c r="B15" s="12" t="str">
        <x:v>Pendiente En curso En revisión Cerrada. Excluir acciones solo con decisión trazable en plataforma.</x:v>
      </x:c>
      <x:c r="C15" s="12" t="str">
        <x:v>Obligatorio</x:v>
      </x:c>
      <x:c r="D15" s="12" t="str">
        <x:v>Por registro</x:v>
      </x:c>
    </x:row>
    <x:row r="16" ht="62" customHeight="1">
      <x:c r="A16" s="12" t="str">
        <x:v>Resultado eficacia</x:v>
      </x:c>
      <x:c r="B16" s="12" t="str">
        <x:v>Conforme No conforme o Pendiente cuando se requiere.</x:v>
      </x:c>
      <x:c r="C16" s="12" t="str">
        <x:v>Obligatorio</x:v>
      </x:c>
      <x:c r="D16" s="12" t="str">
        <x:v>Por registro</x:v>
      </x:c>
    </x:row>
    <x:row r="17" ht="62" customHeight="1">
      <x:c r="A17" s="12" t="str">
        <x:v>Columnas R y S</x:v>
      </x:c>
      <x:c r="B17" s="12" t="str">
        <x:v>Calculadas; no sobrescribir. El resto son entradas editables.</x:v>
      </x:c>
      <x:c r="C17" s="12" t="str">
        <x:v>Obligatorio</x:v>
      </x:c>
      <x:c r="D17" s="12" t="str">
        <x:v>Por registro</x:v>
      </x:c>
    </x:row>
    <x:row r="18" ht="62" customHeight="1">
      <x:c r="A18" s="12" t="str">
        <x:v>Elabora</x:v>
      </x:c>
      <x:c r="B18" s="12" t="str">
        <x:v>{{ELABORA}}</x:v>
      </x:c>
      <x:c r="C18" s="12" t="str">
        <x:v>Obligatorio</x:v>
      </x:c>
      <x:c r="D18" s="12" t="str">
        <x:v>Dueño del proceso y consultor</x:v>
      </x:c>
    </x:row>
    <x:row r="19" ht="62" customHeight="1">
      <x:c r="A19" s="12" t="str">
        <x:v>Revisa</x:v>
      </x:c>
      <x:c r="B19" s="12" t="str">
        <x:v>{{REVISA}}</x:v>
      </x:c>
      <x:c r="C19" s="12" t="str">
        <x:v>Obligatorio</x:v>
      </x:c>
      <x:c r="D19" s="12" t="str">
        <x:v>Jurídico o especialista; DPD asesora si existe</x:v>
      </x:c>
    </x:row>
    <x:row r="20" ht="62" customHeight="1">
      <x:c r="A20" s="12" t="str">
        <x:v>Aprueba</x:v>
      </x:c>
      <x:c r="B20" s="12" t="str">
        <x:v>{{APRUEBA}}</x:v>
      </x:c>
      <x:c r="C20" s="12" t="str">
        <x:v>Obligatorio</x:v>
      </x:c>
      <x:c r="D20" s="12" t="str">
        <x:v>Responsable o autoridad delegada</x:v>
      </x:c>
    </x:row>
    <x:row r="21" ht="62" customHeight="1">
      <x:c r="A21" s="12" t="str">
        <x:v>Actualización</x:v>
      </x:c>
      <x:c r="B21" s="12" t="str">
        <x:v>Ante cambios de datos finalidades sistemas riesgos o normas; registrar versión y motivo.</x:v>
      </x:c>
      <x:c r="C21" s="12" t="str">
        <x:v>Instrucción</x:v>
      </x:c>
      <x:c r="D21" s="12" t="str">
        <x:v>Periodicidad específica cuando corresponda</x:v>
      </x:c>
    </x:row>
    <x:row r="22" ht="62" customHeight="1">
      <x:c r="A22" s="12" t="str">
        <x:v>Historial</x:v>
      </x:c>
      <x:c r="B22" s="12" t="str">
        <x:v>{{VERSION}} / {{FECHA}} / {{CAMBIO}} / {{AUTORIZA}}</x:v>
      </x:c>
      <x:c r="C22" s="12" t="str">
        <x:v>Obligatorio</x:v>
      </x:c>
      <x:c r="D22" s="12" t="str">
        <x:v>Conservar versión anterior</x:v>
      </x:c>
    </x:row>
  </x:sheetData>
  <x:pageMargins left="0.7" right="0.7" top="0.75" bottom="0.75" header="0.3" footer="0.3"/>
  <x:tableParts count="1">
    <x:tablePart xmlns:r="http://schemas.openxmlformats.org/officeDocument/2006/relationships" r:id="Rcd76e56e0e3b432f"/>
  </x:tableParts>
</x:worksheet>
</file>

<file path=xl/worksheets/sheet4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3" hidden="0" customWidth="1"/>
    <x:col min="3" max="3" width="25" hidden="0" customWidth="1"/>
    <x:col min="4" max="4" width="70" hidden="0" customWidth="1"/>
  </x:cols>
  <x:sheetData>
    <x:row r="1">
      <x:c r="A1" s="2"/>
      <x:c r="B1" s="2"/>
      <x:c r="C1" s="2"/>
      <x:c r="D1" s="2"/>
    </x:row>
    <x:row r="2">
      <x:c r="A2" s="4" t="str">
        <x:v>Fecha de corte del seguimiento</x:v>
      </x:c>
      <x:c r="B2" s="2"/>
      <x:c r="C2" s="2"/>
      <x:c r="D2" s="2"/>
    </x:row>
    <x:row r="3">
      <x:c r="A3" s="5" t="str">
        <x:v>v0.1 • Corte 24 octubre 2026 • Campos editables; revisar instrucciones y fuentes</x:v>
      </x:c>
      <x:c r="B3" s="2"/>
      <x:c r="C3" s="2"/>
      <x:c r="D3" s="2"/>
    </x:row>
    <x:row r="4">
      <x:c r="A4" s="2"/>
      <x:c r="B4" s="2"/>
      <x:c r="C4" s="2"/>
      <x:c r="D4" s="2"/>
    </x:row>
    <x:row r="5" ht="46" customHeight="1">
      <x:c r="A5" s="10" t="str">
        <x:v>Parámetro</x:v>
      </x:c>
      <x:c r="B5" s="10" t="str">
        <x:v>Valor</x:v>
      </x:c>
      <x:c r="C5" s="10" t="str">
        <x:v>Tipo</x:v>
      </x:c>
      <x:c r="D5" s="10" t="str">
        <x:v>Uso</x:v>
      </x:c>
    </x:row>
    <x:row r="6" ht="62" customHeight="1">
      <x:c r="A6" s="12" t="str">
        <x:v>Fecha de corte</x:v>
      </x:c>
      <x:c r="B6" s="14" t="n">
        <x:v>46319</x:v>
      </x:c>
      <x:c r="C6" s="12" t="str">
        <x:v>Fecha editable</x:v>
      </x:c>
      <x:c r="D6" s="12" t="str">
        <x:v>Comparación de vencimientos; actualizar al revisar</x:v>
      </x:c>
    </x:row>
  </x:sheetData>
  <x:pageMargins left="0.7" right="0.7" top="0.75" bottom="0.75" header="0.3" footer="0.3"/>
  <x:tableParts count="1">
    <x:tablePart xmlns:r="http://schemas.openxmlformats.org/officeDocument/2006/relationships" r:id="R6c61cc95f24b4eb9"/>
  </x:tableParts>
</x:worksheet>
</file>

<file path=xl/worksheets/sheet5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46" hidden="0" customWidth="1"/>
    <x:col min="5" max="5" width="65" hidden="0" customWidth="1"/>
    <x:col min="6" max="6" width="70" hidden="0" customWidth="1"/>
    <x:col min="7" max="7" width="35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Fuentes y alcance de verificación</x:v>
      </x:c>
      <x:c r="B2" s="2"/>
      <x:c r="C2" s="2"/>
      <x:c r="D2" s="2"/>
      <x:c r="E2" s="2"/>
      <x:c r="F2" s="2"/>
      <x:c r="G2" s="2"/>
      <x:c r="H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10" t="str">
        <x:v>ID</x:v>
      </x:c>
      <x:c r="B5" s="10" t="str">
        <x:v>Instrumento</x:v>
      </x:c>
      <x:c r="C5" s="10" t="str">
        <x:v>Naturaleza</x:v>
      </x:c>
      <x:c r="D5" s="10" t="str">
        <x:v>Disposición</x:v>
      </x:c>
      <x:c r="E5" s="10" t="str">
        <x:v>URL oficial</x:v>
      </x:c>
      <x:c r="F5" s="10" t="str">
        <x:v>Estado de verificación</x:v>
      </x:c>
      <x:c r="G5" s="10" t="str">
        <x:v>Documentos</x:v>
      </x:c>
      <x:c r="H5" s="10" t="str">
        <x:v>Fecha consulta</x:v>
      </x:c>
    </x:row>
    <x:row r="6" ht="62" customHeight="1">
      <x:c r="A6" s="12" t="str">
        <x:v>N01</x:v>
      </x:c>
      <x:c r="B6" s="12" t="str">
        <x:v>LOPDP</x:v>
      </x:c>
      <x:c r="C6" s="12" t="str">
        <x:v>Ley obligatoria</x:v>
      </x:c>
      <x:c r="D6" s="12" t="str">
        <x:v>Arts. 7 a 10, 12 a 24, 25 a 30, 37 a 43, 46 a 50 y 55 a 61</x:v>
      </x:c>
      <x:c r="E6" s="12" t="str">
        <x:v>https://www.finanzaspopulares.gob.ec/wp-content/uploads/2021/07/ley_organica_de_proteccion_de_datos_personales.pdf</x:v>
      </x:c>
      <x:c r="F6" s="12" t="str">
        <x:v>Publicación original 26 mayo 2021. Texto consultado; verificar reformas al aplicar.</x:v>
      </x:c>
      <x:c r="G6" s="12" t="str">
        <x:v>Todos</x:v>
      </x:c>
      <x:c r="H6" s="12" t="str">
        <x:v>2026-10-24</x:v>
      </x:c>
    </x:row>
  </x:sheetData>
  <x:pageMargins left="0.7" right="0.7" top="0.75" bottom="0.75" header="0.3" footer="0.3"/>
  <x:tableParts count="1">
    <x:tablePart xmlns:r="http://schemas.openxmlformats.org/officeDocument/2006/relationships" r:id="Rc980292a8645464f"/>
  </x:tableParts>
</x:worksheet>
</file>